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t\Data Analysis\"/>
    </mc:Choice>
  </mc:AlternateContent>
  <xr:revisionPtr revIDLastSave="0" documentId="13_ncr:1_{B489A84D-138C-42CB-A51D-1545669DAA81}" xr6:coauthVersionLast="47" xr6:coauthVersionMax="47" xr10:uidLastSave="{00000000-0000-0000-0000-000000000000}"/>
  <bookViews>
    <workbookView xWindow="-120" yWindow="330" windowWidth="20730" windowHeight="11310" firstSheet="8" activeTab="8" xr2:uid="{82A6A4BE-1AEB-4108-BBCA-403677B645AC}"/>
  </bookViews>
  <sheets>
    <sheet name="employee-data" sheetId="12" state="hidden" r:id="rId1"/>
    <sheet name="artist-revenue" sheetId="2" state="hidden" r:id="rId2"/>
    <sheet name="employee_sales_performance (2)" sheetId="21" state="hidden" r:id="rId3"/>
    <sheet name="genre_revenue" sheetId="3" state="hidden" r:id="rId4"/>
    <sheet name="customer_spend" sheetId="4" state="hidden" r:id="rId5"/>
    <sheet name="country_spend" sheetId="5" state="hidden" r:id="rId6"/>
    <sheet name="monthly_growth" sheetId="7" state="hidden" r:id="rId7"/>
    <sheet name="yearly_growth" sheetId="9" state="hidden" r:id="rId8"/>
    <sheet name="LOOKUPS" sheetId="1" r:id="rId9"/>
    <sheet name="Merge" sheetId="15" r:id="rId10"/>
    <sheet name="Summary" sheetId="17" r:id="rId11"/>
  </sheets>
  <definedNames>
    <definedName name="ExternalData_1" localSheetId="1" hidden="1">'artist-revenue'!$A$1:$C$166</definedName>
    <definedName name="ExternalData_1" localSheetId="5" hidden="1">'country_spend'!$A$1:$C$25</definedName>
    <definedName name="ExternalData_1" localSheetId="4" hidden="1">'customer_spend'!$A$1:$E$60</definedName>
    <definedName name="ExternalData_1" localSheetId="3" hidden="1">genre_revenue!$A$1:$C$25</definedName>
    <definedName name="ExternalData_1" localSheetId="9" hidden="1">Merge!$A$1:$N$60</definedName>
    <definedName name="ExternalData_1" localSheetId="6" hidden="1">monthly_growth!$A$1:$E$61</definedName>
    <definedName name="ExternalData_1" localSheetId="10" hidden="1">Summary!$A$42:$C$66</definedName>
    <definedName name="ExternalData_1" localSheetId="7" hidden="1">yearly_growth!$A$1:$D$6</definedName>
    <definedName name="ExternalData_2" localSheetId="2" hidden="1">'employee_sales_performance (2)'!$A$1:$G$9</definedName>
    <definedName name="ExternalData_2" localSheetId="0" hidden="1">'employee-data'!$A$1:$D$9</definedName>
  </definedNames>
  <calcPr calcId="191029"/>
  <pivotCaches>
    <pivotCache cacheId="4" r:id="rId12"/>
    <pivotCache cacheId="8" r:id="rId13"/>
    <pivotCache cacheId="11" r:id="rId14"/>
    <pivotCache cacheId="4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17" l="1"/>
  <c r="E6" i="17"/>
  <c r="E5" i="17"/>
  <c r="F2" i="7"/>
  <c r="G2" i="7" s="1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F3" i="1"/>
  <c r="F4" i="1"/>
  <c r="F5" i="1"/>
  <c r="G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E3" i="1"/>
  <c r="E4" i="1"/>
  <c r="E5" i="1"/>
  <c r="E6" i="1"/>
  <c r="E7" i="1"/>
  <c r="E8" i="1"/>
  <c r="E9" i="1"/>
  <c r="E10" i="1"/>
  <c r="E11" i="1"/>
  <c r="G11" i="1" s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F2" i="1"/>
  <c r="E2" i="1"/>
  <c r="G3" i="1"/>
  <c r="G4" i="1"/>
  <c r="G7" i="1"/>
  <c r="G8" i="1"/>
  <c r="G9" i="1"/>
  <c r="G12" i="1"/>
  <c r="G13" i="1"/>
  <c r="G15" i="1"/>
  <c r="G16" i="1"/>
  <c r="G17" i="1"/>
  <c r="G19" i="1"/>
  <c r="G20" i="1"/>
  <c r="G21" i="1"/>
  <c r="G23" i="1"/>
  <c r="G24" i="1"/>
  <c r="G25" i="1"/>
  <c r="G27" i="1"/>
  <c r="G28" i="1"/>
  <c r="G29" i="1"/>
  <c r="G31" i="1"/>
  <c r="G32" i="1"/>
  <c r="G33" i="1"/>
  <c r="G35" i="1"/>
  <c r="G36" i="1"/>
  <c r="G37" i="1"/>
  <c r="G39" i="1"/>
  <c r="G40" i="1"/>
  <c r="G41" i="1"/>
  <c r="G43" i="1"/>
  <c r="G44" i="1"/>
  <c r="G45" i="1"/>
  <c r="G47" i="1"/>
  <c r="G48" i="1"/>
  <c r="G49" i="1"/>
  <c r="G51" i="1"/>
  <c r="G52" i="1"/>
  <c r="G53" i="1"/>
  <c r="G55" i="1"/>
  <c r="G56" i="1"/>
  <c r="G57" i="1"/>
  <c r="G59" i="1"/>
  <c r="G60" i="1"/>
  <c r="G58" i="1" l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AFF72-8B54-49D5-929D-44A961C660D0}" keepAlive="1" name="Query - artist-revenue" description="Connection to the 'artist-revenue' query in the workbook." type="5" refreshedVersion="8" background="1" saveData="1">
    <dbPr connection="Provider=Microsoft.Mashup.OleDb.1;Data Source=$Workbook$;Location=artist-revenue;Extended Properties=&quot;&quot;" command="SELECT * FROM [artist-revenue]"/>
  </connection>
  <connection id="2" xr16:uid="{F3C2F1B0-F1E4-4D4A-82FD-BC83DA90385A}" keepAlive="1" name="Query - country_spend" description="Connection to the 'country_spend' query in the workbook." type="5" refreshedVersion="8" background="1" saveData="1">
    <dbPr connection="Provider=Microsoft.Mashup.OleDb.1;Data Source=$Workbook$;Location=country_spend;Extended Properties=&quot;&quot;" command="SELECT * FROM [country_spend]"/>
  </connection>
  <connection id="3" xr16:uid="{8C6FCA10-18AB-40AD-99DC-7F70C20247AA}" keepAlive="1" name="Query - country_spend (2)" description="Connection to the 'country_spend (2)' query in the workbook." type="5" refreshedVersion="8" background="1" saveData="1">
    <dbPr connection="Provider=Microsoft.Mashup.OleDb.1;Data Source=$Workbook$;Location=&quot;country_spend (2)&quot;;Extended Properties=&quot;&quot;" command="SELECT * FROM [country_spend (2)]"/>
  </connection>
  <connection id="4" xr16:uid="{831A7FD9-EC08-48AF-B800-0AFEF7F12024}" keepAlive="1" name="Query - customer_spend" description="Connection to the 'customer_spend' query in the workbook." type="5" refreshedVersion="8" background="1" saveData="1">
    <dbPr connection="Provider=Microsoft.Mashup.OleDb.1;Data Source=$Workbook$;Location=customer_spend;Extended Properties=&quot;&quot;" command="SELECT * FROM [customer_spend]"/>
  </connection>
  <connection id="5" xr16:uid="{A9998994-36FB-4B9D-B5E4-542F4314B89B}" keepAlive="1" name="Query - employee_sales_performance" description="Connection to the 'employee_sales_performance' query in the workbook." type="5" refreshedVersion="8" background="1" saveData="1">
    <dbPr connection="Provider=Microsoft.Mashup.OleDb.1;Data Source=$Workbook$;Location=employee_sales_performance;Extended Properties=&quot;&quot;" command="SELECT * FROM [employee_sales_performance]"/>
  </connection>
  <connection id="6" xr16:uid="{6B0D6736-7365-43DF-97C9-629B49D21B92}" keepAlive="1" name="Query - employee_sales_performance (2)" description="Connection to the 'employee_sales_performance (2)' query in the workbook." type="5" refreshedVersion="8" background="1" saveData="1">
    <dbPr connection="Provider=Microsoft.Mashup.OleDb.1;Data Source=$Workbook$;Location=&quot;employee_sales_performance (2)&quot;;Extended Properties=&quot;&quot;" command="SELECT * FROM [employee_sales_performance (2)]"/>
  </connection>
  <connection id="7" xr16:uid="{B8CD9DA2-0559-4445-80E2-C5DE8FDABD13}" keepAlive="1" name="Query - employee-data" description="Connection to the 'employee-data' query in the workbook." type="5" refreshedVersion="8" background="1" saveData="1">
    <dbPr connection="Provider=Microsoft.Mashup.OleDb.1;Data Source=$Workbook$;Location=employee-data;Extended Properties=&quot;&quot;" command="SELECT * FROM [employee-data]"/>
  </connection>
  <connection id="8" xr16:uid="{D488E17D-DD98-4330-B914-F4FBDE83961F}" keepAlive="1" name="Query - genre_revenue" description="Connection to the 'genre_revenue' query in the workbook." type="5" refreshedVersion="8" background="1" saveData="1">
    <dbPr connection="Provider=Microsoft.Mashup.OleDb.1;Data Source=$Workbook$;Location=genre_revenue;Extended Properties=&quot;&quot;" command="SELECT * FROM [genre_revenue]"/>
  </connection>
  <connection id="9" xr16:uid="{1140207C-CD0B-4723-BBA5-241BB8BF6874}" keepAlive="1" name="Query - monthly_growth" description="Connection to the 'monthly_growth' query in the workbook." type="5" refreshedVersion="8" background="1" saveData="1">
    <dbPr connection="Provider=Microsoft.Mashup.OleDb.1;Data Source=$Workbook$;Location=monthly_growth;Extended Properties=&quot;&quot;" command="SELECT * FROM [monthly_growth]"/>
  </connection>
  <connection id="10" xr16:uid="{B0CD20C8-DC93-49A6-94E2-076467416FF9}" keepAlive="1" name="Query - Table11" description="Connection to the 'Table11' query in the workbook." type="5" refreshedVersion="8" background="1" saveData="1">
    <dbPr connection="Provider=Microsoft.Mashup.OleDb.1;Data Source=$Workbook$;Location=Table11;Extended Properties=&quot;&quot;" command="SELECT * FROM [Table11]"/>
  </connection>
  <connection id="11" xr16:uid="{F0045396-8059-4BFF-813C-E988AB484940}" keepAlive="1" name="Query - yearly_growth" description="Connection to the 'yearly_growth' query in the workbook." type="5" refreshedVersion="8" background="1" saveData="1">
    <dbPr connection="Provider=Microsoft.Mashup.OleDb.1;Data Source=$Workbook$;Location=yearly_growth;Extended Properties=&quot;&quot;" command="SELECT * FROM [yearly_growth]"/>
  </connection>
</connections>
</file>

<file path=xl/sharedStrings.xml><?xml version="1.0" encoding="utf-8"?>
<sst xmlns="http://schemas.openxmlformats.org/spreadsheetml/2006/main" count="1241" uniqueCount="407">
  <si>
    <t>artist</t>
  </si>
  <si>
    <t>revenue</t>
  </si>
  <si>
    <t>revenue_rank</t>
  </si>
  <si>
    <t>Iron Maiden</t>
  </si>
  <si>
    <t>U2</t>
  </si>
  <si>
    <t>Metallica</t>
  </si>
  <si>
    <t>Led Zeppelin</t>
  </si>
  <si>
    <t>Lost</t>
  </si>
  <si>
    <t>The Office</t>
  </si>
  <si>
    <t>Os Paralamas Do Sucesso</t>
  </si>
  <si>
    <t>Deep Purple</t>
  </si>
  <si>
    <t>Faith No More</t>
  </si>
  <si>
    <t>Eric Clapton</t>
  </si>
  <si>
    <t>R.E.M.</t>
  </si>
  <si>
    <t>Queen</t>
  </si>
  <si>
    <t>Creedence Clearwater Revival</t>
  </si>
  <si>
    <t>Battlestar Galactica (Classic)</t>
  </si>
  <si>
    <t>Guns N' Roses</t>
  </si>
  <si>
    <t>Titãs</t>
  </si>
  <si>
    <t>Green Day</t>
  </si>
  <si>
    <t>Pearl Jam</t>
  </si>
  <si>
    <t>Kiss</t>
  </si>
  <si>
    <t>Various Artists</t>
  </si>
  <si>
    <t>Van Halen</t>
  </si>
  <si>
    <t>Chico Buarque</t>
  </si>
  <si>
    <t>Red Hot Chili Peppers</t>
  </si>
  <si>
    <t>Heroes</t>
  </si>
  <si>
    <t>Lenny Kravitz</t>
  </si>
  <si>
    <t>Chico Science &amp; Nação Zumbi</t>
  </si>
  <si>
    <t>Battlestar Galactica</t>
  </si>
  <si>
    <t>Ozzy Osbourne</t>
  </si>
  <si>
    <t>Smashing Pumpkins</t>
  </si>
  <si>
    <t>Tim Maia</t>
  </si>
  <si>
    <t>Antônio Carlos Jobim</t>
  </si>
  <si>
    <t>Foo Fighters</t>
  </si>
  <si>
    <t>Caetano Veloso</t>
  </si>
  <si>
    <t>Cássia Eller</t>
  </si>
  <si>
    <t>Spyro Gyra</t>
  </si>
  <si>
    <t>Gilberto Gil</t>
  </si>
  <si>
    <t>The Who</t>
  </si>
  <si>
    <t>Djavan</t>
  </si>
  <si>
    <t>Jamiroquai</t>
  </si>
  <si>
    <t>The Rolling Stones</t>
  </si>
  <si>
    <t>Amy Winehouse</t>
  </si>
  <si>
    <t>Miles Davis</t>
  </si>
  <si>
    <t>Gene Krupa</t>
  </si>
  <si>
    <t>Legião Urbana</t>
  </si>
  <si>
    <t>The Tea Party</t>
  </si>
  <si>
    <t>AC/DC</t>
  </si>
  <si>
    <t>Audioslave</t>
  </si>
  <si>
    <t>Cidade Negra</t>
  </si>
  <si>
    <t>The Cult</t>
  </si>
  <si>
    <t>Toquinho &amp; Vinícius</t>
  </si>
  <si>
    <t>Milton Nascimento</t>
  </si>
  <si>
    <t>Soundgarden</t>
  </si>
  <si>
    <t>The Black Crowes</t>
  </si>
  <si>
    <t>Elis Regina</t>
  </si>
  <si>
    <t>Lulu Santos</t>
  </si>
  <si>
    <t>O Terço</t>
  </si>
  <si>
    <t>Bruce Dickinson</t>
  </si>
  <si>
    <t>Santana</t>
  </si>
  <si>
    <t>James Brown</t>
  </si>
  <si>
    <t>Nirvana</t>
  </si>
  <si>
    <t>System Of A Down</t>
  </si>
  <si>
    <t>Body Count</t>
  </si>
  <si>
    <t>Aerosmith</t>
  </si>
  <si>
    <t>Frank Sinatra</t>
  </si>
  <si>
    <t>Judas Priest</t>
  </si>
  <si>
    <t>Marvin Gaye</t>
  </si>
  <si>
    <t>Olodum</t>
  </si>
  <si>
    <t>Raul Seixas</t>
  </si>
  <si>
    <t>Skank</t>
  </si>
  <si>
    <t>Stone Temple Pilots</t>
  </si>
  <si>
    <t>The Clash</t>
  </si>
  <si>
    <t>Black Sabbath</t>
  </si>
  <si>
    <t>Gonzaguinha</t>
  </si>
  <si>
    <t>Incognito</t>
  </si>
  <si>
    <t>Passengers</t>
  </si>
  <si>
    <t>Planet Hemp</t>
  </si>
  <si>
    <t>Stevie Ray Vaughan &amp; Double Trouble</t>
  </si>
  <si>
    <t>Zeca Pagodinho</t>
  </si>
  <si>
    <t>R.E.M. Feat. Kate Pearson</t>
  </si>
  <si>
    <t>Alanis Morissette</t>
  </si>
  <si>
    <t>Black Label Society</t>
  </si>
  <si>
    <t>David Coverdale</t>
  </si>
  <si>
    <t>Os Mutantes</t>
  </si>
  <si>
    <t>Falamansa</t>
  </si>
  <si>
    <t>Funk Como Le Gusta</t>
  </si>
  <si>
    <t>Godsmack</t>
  </si>
  <si>
    <t>Jimi Hendrix</t>
  </si>
  <si>
    <t>Marisa Monte</t>
  </si>
  <si>
    <t>Men At Work</t>
  </si>
  <si>
    <t>Page &amp; Plant</t>
  </si>
  <si>
    <t>UB40</t>
  </si>
  <si>
    <t>House Of Pain</t>
  </si>
  <si>
    <t>Alice In Chains</t>
  </si>
  <si>
    <t>Buddy Guy</t>
  </si>
  <si>
    <t>Marcos Valle</t>
  </si>
  <si>
    <t>Def Leppard</t>
  </si>
  <si>
    <t>JET</t>
  </si>
  <si>
    <t>Mötley Crüe</t>
  </si>
  <si>
    <t>Raimundos</t>
  </si>
  <si>
    <t>The Police</t>
  </si>
  <si>
    <t>O Rappa</t>
  </si>
  <si>
    <t>BackBeat</t>
  </si>
  <si>
    <t>Ed Motta</t>
  </si>
  <si>
    <t>Jorge Ben</t>
  </si>
  <si>
    <t>Jota Quest</t>
  </si>
  <si>
    <t>João Suplicy</t>
  </si>
  <si>
    <t>Motörhead</t>
  </si>
  <si>
    <t>Mônica Marianno</t>
  </si>
  <si>
    <t>Rush</t>
  </si>
  <si>
    <t>Velvet Revolver</t>
  </si>
  <si>
    <t>Vinícius De Moraes</t>
  </si>
  <si>
    <t>Accept</t>
  </si>
  <si>
    <t>Cláudio Zoli</t>
  </si>
  <si>
    <t>Marillion</t>
  </si>
  <si>
    <t>Paul D'Ianno</t>
  </si>
  <si>
    <t>Terry Bozzio, Tony Levin &amp; Steve Stevens</t>
  </si>
  <si>
    <t>Scorpions</t>
  </si>
  <si>
    <t>Aquaman</t>
  </si>
  <si>
    <t>Apocalyptica</t>
  </si>
  <si>
    <t>Billy Cobham</t>
  </si>
  <si>
    <t>Frank Zappa &amp; Captain Beefheart</t>
  </si>
  <si>
    <t>Dennis Chambers</t>
  </si>
  <si>
    <t>Joe Satriani</t>
  </si>
  <si>
    <t>Pink Floyd</t>
  </si>
  <si>
    <t>The Doors</t>
  </si>
  <si>
    <t>Temple of the Dog</t>
  </si>
  <si>
    <t>Chris Cornell</t>
  </si>
  <si>
    <t>Michael Tilson Thomas &amp; San Francisco Symphony</t>
  </si>
  <si>
    <t>Academy of St. Martin in the Fields, Sir Neville Marriner &amp; Thurston Dart</t>
  </si>
  <si>
    <t>Equale Brass Ensemble, John Eliot Gardiner &amp; Munich Monteverdi Orchestra and Choir</t>
  </si>
  <si>
    <t>Emerson String Quartet</t>
  </si>
  <si>
    <t>Eugene Ormandy</t>
  </si>
  <si>
    <t>Chicago Symphony Orchestra &amp; Fritz Reiner</t>
  </si>
  <si>
    <t>Berliner Philharmoniker &amp; Herbert Von Karajan</t>
  </si>
  <si>
    <t>Luciana Souza/Romero Lubambo</t>
  </si>
  <si>
    <t>Scholars Baroque Ensemble</t>
  </si>
  <si>
    <t>Academy of St. Martin in the Fields, John Birch, Sir Neville Marriner &amp; Sylvia McNair</t>
  </si>
  <si>
    <t>Maurizio Pollini</t>
  </si>
  <si>
    <t>Calexico</t>
  </si>
  <si>
    <t>Otto Klemperer &amp; Philharmonia Orchestra</t>
  </si>
  <si>
    <t>Yehudi Menuhin</t>
  </si>
  <si>
    <t>The 12 Cellists of The Berlin Philharmonic</t>
  </si>
  <si>
    <t>Roger Norrington, London Classical Players</t>
  </si>
  <si>
    <t>Julian Bream</t>
  </si>
  <si>
    <t>The King's Singers</t>
  </si>
  <si>
    <t>Michele Campanella</t>
  </si>
  <si>
    <t>Dread Zeppelin</t>
  </si>
  <si>
    <t>Habib Koité and Bamada</t>
  </si>
  <si>
    <t>English Concert &amp; Trevor Pinnock</t>
  </si>
  <si>
    <t>Royal Philharmonic Orchestra &amp; Sir Thomas Beecham</t>
  </si>
  <si>
    <t>Edo de Waart &amp; San Francisco Symphony</t>
  </si>
  <si>
    <t>Philharmonia Orchestra &amp; Sir Neville Marriner</t>
  </si>
  <si>
    <t>Adrian Leaper &amp; Doreen de Feis</t>
  </si>
  <si>
    <t>Kent Nagano and Orchestre de l'Opéra de Lyon</t>
  </si>
  <si>
    <t>Martin Roscoe</t>
  </si>
  <si>
    <t>The Posies</t>
  </si>
  <si>
    <t>Yo-Yo Ma</t>
  </si>
  <si>
    <t>Sir Georg Solti &amp; Wiener Philharmoniker</t>
  </si>
  <si>
    <t>Orchestra of The Age of Enlightenment</t>
  </si>
  <si>
    <t>Emanuel Ax, Eugene Ormandy &amp; Philadelphia Orchestra</t>
  </si>
  <si>
    <t>Berliner Philharmoniker &amp; Hans Rosbaud</t>
  </si>
  <si>
    <t>Academy of St. Martin in the Fields &amp; Sir Neville Marriner</t>
  </si>
  <si>
    <t>Felix Schmidt, London Symphony Orchestra &amp; Rafael Frühbeck de Burgos</t>
  </si>
  <si>
    <t>Antal Doráti &amp; London Symphony Orchestra</t>
  </si>
  <si>
    <t>Göteborgs Symfoniker &amp; Neeme Järvi</t>
  </si>
  <si>
    <t>genre</t>
  </si>
  <si>
    <t>Rock</t>
  </si>
  <si>
    <t>Latin</t>
  </si>
  <si>
    <t>Metal</t>
  </si>
  <si>
    <t>Alternative &amp; Punk</t>
  </si>
  <si>
    <t>TV Shows</t>
  </si>
  <si>
    <t>Jazz</t>
  </si>
  <si>
    <t>Blues</t>
  </si>
  <si>
    <t>Drama</t>
  </si>
  <si>
    <t>R&amp;B/Soul</t>
  </si>
  <si>
    <t>Classical</t>
  </si>
  <si>
    <t>Sci Fi &amp; Fantasy</t>
  </si>
  <si>
    <t>Reggae</t>
  </si>
  <si>
    <t>Pop</t>
  </si>
  <si>
    <t>Soundtrack</t>
  </si>
  <si>
    <t>Comedy</t>
  </si>
  <si>
    <t>Hip Hop/Rap</t>
  </si>
  <si>
    <t>Bossa Nova</t>
  </si>
  <si>
    <t>Alternative</t>
  </si>
  <si>
    <t>World</t>
  </si>
  <si>
    <t>Science Fiction</t>
  </si>
  <si>
    <t>Heavy Metal</t>
  </si>
  <si>
    <t>Electronica/Dance</t>
  </si>
  <si>
    <t>Easy Listening</t>
  </si>
  <si>
    <t>Rock And Roll</t>
  </si>
  <si>
    <t>CustomerId</t>
  </si>
  <si>
    <t>full_name</t>
  </si>
  <si>
    <t>SupportRepId</t>
  </si>
  <si>
    <t>total_spend</t>
  </si>
  <si>
    <t>spend_rank</t>
  </si>
  <si>
    <t>Helena Holý</t>
  </si>
  <si>
    <t>Richard Cunningham</t>
  </si>
  <si>
    <t>Luis Rojas</t>
  </si>
  <si>
    <t>Hugh O'Reilly</t>
  </si>
  <si>
    <t>Ladislav Kovács</t>
  </si>
  <si>
    <t>Fynn Zimmermann</t>
  </si>
  <si>
    <t>Julia Barnett</t>
  </si>
  <si>
    <t>Frank Ralston</t>
  </si>
  <si>
    <t>Victor Stevens</t>
  </si>
  <si>
    <t>Astrid Gruber</t>
  </si>
  <si>
    <t>Terhi Hämäläinen</t>
  </si>
  <si>
    <t>Johannes Van der Berg</t>
  </si>
  <si>
    <t>František Wichterlová</t>
  </si>
  <si>
    <t>Isabelle Mercier</t>
  </si>
  <si>
    <t>Bjørn Hansen</t>
  </si>
  <si>
    <t>François Tremblay</t>
  </si>
  <si>
    <t>Wyatt Girard</t>
  </si>
  <si>
    <t>João Fernandes</t>
  </si>
  <si>
    <t>Jack Smith</t>
  </si>
  <si>
    <t>Heather Leacock</t>
  </si>
  <si>
    <t>Luís Gonçalves</t>
  </si>
  <si>
    <t>Dan Miller</t>
  </si>
  <si>
    <t>Dominique Lefebvre</t>
  </si>
  <si>
    <t>Joakim Johansson</t>
  </si>
  <si>
    <t>Jennifer Peterson</t>
  </si>
  <si>
    <t>Tim Goyer</t>
  </si>
  <si>
    <t>Camille Bernard</t>
  </si>
  <si>
    <t>Manoj Pareek</t>
  </si>
  <si>
    <t>Fernanda Ramos</t>
  </si>
  <si>
    <t>Leonie Köhler</t>
  </si>
  <si>
    <t>Enrique Muñoz</t>
  </si>
  <si>
    <t>Phil Hughes</t>
  </si>
  <si>
    <t>Daan Peeters</t>
  </si>
  <si>
    <t>Robert Brown</t>
  </si>
  <si>
    <t>Edward Francis</t>
  </si>
  <si>
    <t>Aaron Mitchell</t>
  </si>
  <si>
    <t>Mark Philips</t>
  </si>
  <si>
    <t>Kara Nielsen</t>
  </si>
  <si>
    <t>Alexandre Rocha</t>
  </si>
  <si>
    <t>Lucas Mancini</t>
  </si>
  <si>
    <t>Stanisław Wójcik</t>
  </si>
  <si>
    <t>John Gordon</t>
  </si>
  <si>
    <t>Niklas Schröder</t>
  </si>
  <si>
    <t>Emma Jones</t>
  </si>
  <si>
    <t>Frank Harris</t>
  </si>
  <si>
    <t>Kathy Chase</t>
  </si>
  <si>
    <t>Martha Silk</t>
  </si>
  <si>
    <t>Steve Murray</t>
  </si>
  <si>
    <t>Mark Taylor</t>
  </si>
  <si>
    <t>Eduardo Martins</t>
  </si>
  <si>
    <t>Patrick Gray</t>
  </si>
  <si>
    <t>Ellie Sullivan</t>
  </si>
  <si>
    <t>Marc Dubois</t>
  </si>
  <si>
    <t>Michelle Brooks</t>
  </si>
  <si>
    <t>Hannah Schneider</t>
  </si>
  <si>
    <t>Diego Gutiérrez</t>
  </si>
  <si>
    <t>Roberto Almeida</t>
  </si>
  <si>
    <t>Madalena Sampaio</t>
  </si>
  <si>
    <t>Puja Srivastava</t>
  </si>
  <si>
    <t>Country</t>
  </si>
  <si>
    <t>USA</t>
  </si>
  <si>
    <t>Canada</t>
  </si>
  <si>
    <t>France</t>
  </si>
  <si>
    <t>Brazil</t>
  </si>
  <si>
    <t>Germany</t>
  </si>
  <si>
    <t>United Kingdom</t>
  </si>
  <si>
    <t>Czech Republic</t>
  </si>
  <si>
    <t>Portugal</t>
  </si>
  <si>
    <t>India</t>
  </si>
  <si>
    <t>Chile</t>
  </si>
  <si>
    <t>Ireland</t>
  </si>
  <si>
    <t>Hungary</t>
  </si>
  <si>
    <t>Austria</t>
  </si>
  <si>
    <t>Finland</t>
  </si>
  <si>
    <t>Netherlands</t>
  </si>
  <si>
    <t>Norway</t>
  </si>
  <si>
    <t>Sweden</t>
  </si>
  <si>
    <t>Belgium</t>
  </si>
  <si>
    <t>Australia</t>
  </si>
  <si>
    <t>Spain</t>
  </si>
  <si>
    <t>Denmark</t>
  </si>
  <si>
    <t>Italy</t>
  </si>
  <si>
    <t>Poland</t>
  </si>
  <si>
    <t>Argentina</t>
  </si>
  <si>
    <t>EmployeeId</t>
  </si>
  <si>
    <t>employee_name</t>
  </si>
  <si>
    <t>Andrew Adams</t>
  </si>
  <si>
    <t>NULL</t>
  </si>
  <si>
    <t>Nancy Edwards</t>
  </si>
  <si>
    <t>Jane Peacock</t>
  </si>
  <si>
    <t>Margaret Park</t>
  </si>
  <si>
    <t>Steve Johnson</t>
  </si>
  <si>
    <t>Michael Mitchell</t>
  </si>
  <si>
    <t>Robert King</t>
  </si>
  <si>
    <t>Laura Callahan</t>
  </si>
  <si>
    <t>invoice_year</t>
  </si>
  <si>
    <t>invoice_month</t>
  </si>
  <si>
    <t>prev_month_revenue</t>
  </si>
  <si>
    <t>MoM_growth_pct</t>
  </si>
  <si>
    <t>35.64</t>
  </si>
  <si>
    <t>5.6</t>
  </si>
  <si>
    <t>37.62</t>
  </si>
  <si>
    <t>0.0</t>
  </si>
  <si>
    <t>39.9</t>
  </si>
  <si>
    <t>52.62</t>
  </si>
  <si>
    <t>-11.4</t>
  </si>
  <si>
    <t>46.62</t>
  </si>
  <si>
    <t>-4.3</t>
  </si>
  <si>
    <t>44.62</t>
  </si>
  <si>
    <t>-15.7</t>
  </si>
  <si>
    <t>-2.6</t>
  </si>
  <si>
    <t>36.63</t>
  </si>
  <si>
    <t>2.7</t>
  </si>
  <si>
    <t>37.2</t>
  </si>
  <si>
    <t>51.62</t>
  </si>
  <si>
    <t>-17.4</t>
  </si>
  <si>
    <t>42.62</t>
  </si>
  <si>
    <t>18.8</t>
  </si>
  <si>
    <t>50.62</t>
  </si>
  <si>
    <t>-25.7</t>
  </si>
  <si>
    <t>-36.8</t>
  </si>
  <si>
    <t>23.76</t>
  </si>
  <si>
    <t>58.3</t>
  </si>
  <si>
    <t>5.3</t>
  </si>
  <si>
    <t>39.62</t>
  </si>
  <si>
    <t>20.2</t>
  </si>
  <si>
    <t>47.62</t>
  </si>
  <si>
    <t>-1.9</t>
  </si>
  <si>
    <t>46.71</t>
  </si>
  <si>
    <t>-8.8</t>
  </si>
  <si>
    <t>-11.7</t>
  </si>
  <si>
    <t>-26.3</t>
  </si>
  <si>
    <t>27.72</t>
  </si>
  <si>
    <t>35.7</t>
  </si>
  <si>
    <t>-10.5</t>
  </si>
  <si>
    <t>33.66</t>
  </si>
  <si>
    <t>11.8</t>
  </si>
  <si>
    <t>31.9</t>
  </si>
  <si>
    <t>49.62</t>
  </si>
  <si>
    <t>-22.2</t>
  </si>
  <si>
    <t>prev_year_revenue</t>
  </si>
  <si>
    <t>YoY_growth_pct</t>
  </si>
  <si>
    <t>449.46</t>
  </si>
  <si>
    <t>481.45</t>
  </si>
  <si>
    <t>469.58</t>
  </si>
  <si>
    <t>477.53</t>
  </si>
  <si>
    <t>invoice_count</t>
  </si>
  <si>
    <t>customer_count</t>
  </si>
  <si>
    <t>avg_invoice_spend</t>
  </si>
  <si>
    <t>avg_customer_spend</t>
  </si>
  <si>
    <t>833.04</t>
  </si>
  <si>
    <t>5.71</t>
  </si>
  <si>
    <t>39.67</t>
  </si>
  <si>
    <t>775.40</t>
  </si>
  <si>
    <t>5.54</t>
  </si>
  <si>
    <t>38.77</t>
  </si>
  <si>
    <t>720.16</t>
  </si>
  <si>
    <t>5.72</t>
  </si>
  <si>
    <t>40.01</t>
  </si>
  <si>
    <t>FirstName</t>
  </si>
  <si>
    <t>LastName</t>
  </si>
  <si>
    <t>Title</t>
  </si>
  <si>
    <t>Andrew</t>
  </si>
  <si>
    <t>Adams</t>
  </si>
  <si>
    <t>General Manager</t>
  </si>
  <si>
    <t>Nancy</t>
  </si>
  <si>
    <t>Edwards</t>
  </si>
  <si>
    <t>Sales Manager</t>
  </si>
  <si>
    <t>Jane</t>
  </si>
  <si>
    <t>Peacock</t>
  </si>
  <si>
    <t>Sales Support Agent</t>
  </si>
  <si>
    <t>Margaret</t>
  </si>
  <si>
    <t>Park</t>
  </si>
  <si>
    <t>Steve</t>
  </si>
  <si>
    <t>Johnson</t>
  </si>
  <si>
    <t>Michael</t>
  </si>
  <si>
    <t>Mitchell</t>
  </si>
  <si>
    <t>IT Manager</t>
  </si>
  <si>
    <t>Robert</t>
  </si>
  <si>
    <t>King</t>
  </si>
  <si>
    <t>IT Staff</t>
  </si>
  <si>
    <t>Laura</t>
  </si>
  <si>
    <t>Callahan</t>
  </si>
  <si>
    <t>SupportRep_first_name</t>
  </si>
  <si>
    <t>SupportRep_last_name</t>
  </si>
  <si>
    <t>SupportRep_full_name</t>
  </si>
  <si>
    <t>SupportRep_full_name (VLOOKUP)</t>
  </si>
  <si>
    <t>SupportRep_full_name (XLOOKUP)</t>
  </si>
  <si>
    <t>SupportRep_full_name (XLOOKUP)2</t>
  </si>
  <si>
    <t>employee-data.EmployeeId</t>
  </si>
  <si>
    <t>employee-data.FirstName</t>
  </si>
  <si>
    <t>employee-data.LastName</t>
  </si>
  <si>
    <t>employee-data.Title</t>
  </si>
  <si>
    <t>Grand Total</t>
  </si>
  <si>
    <t>Row Labels</t>
  </si>
  <si>
    <t>Sum of revenue</t>
  </si>
  <si>
    <t>Sum of total_spend</t>
  </si>
  <si>
    <t>Column1</t>
  </si>
  <si>
    <t>invoice_month_c</t>
  </si>
  <si>
    <t>Growth%</t>
  </si>
  <si>
    <t>Total Customers</t>
  </si>
  <si>
    <t>Total Orders</t>
  </si>
  <si>
    <t>ANALYSIS SUMMARY</t>
  </si>
  <si>
    <t xml:space="preserve">Total Revenue </t>
  </si>
  <si>
    <t>Top 10 genres by revenue generated</t>
  </si>
  <si>
    <t>Top 10 artists by revenue generated</t>
  </si>
  <si>
    <t>Top 10 countries by revenue generated</t>
  </si>
  <si>
    <t>Country revenue distribution</t>
  </si>
  <si>
    <t>REVENUE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</si>
</sst>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2" xfId="0" applyFont="1" applyBorder="1"/>
    <xf numFmtId="0" fontId="0" fillId="0" borderId="2" xfId="0" applyBorder="1" applyAlignment="1">
      <alignment horizontal="center"/>
    </xf>
    <xf numFmtId="0" fontId="2" fillId="0" borderId="0" xfId="0" applyFont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43">
    <dxf>
      <fill>
        <patternFill>
          <bgColor rgb="FF00B050"/>
        </patternFill>
      </fill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99"/>
      <color rgb="FFF26C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yearly_growth!$A$2:$A$6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yearly_growth!$D$2:$D$6</c:f>
              <c:numCache>
                <c:formatCode>General</c:formatCode>
                <c:ptCount val="5"/>
                <c:pt idx="0">
                  <c:v>0</c:v>
                </c:pt>
                <c:pt idx="1">
                  <c:v>7.1</c:v>
                </c:pt>
                <c:pt idx="2">
                  <c:v>-2.5</c:v>
                </c:pt>
                <c:pt idx="3">
                  <c:v>1.7</c:v>
                </c:pt>
                <c:pt idx="4">
                  <c:v>-5.6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A-41C5-B99A-4A8FAA6B8F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4674424"/>
        <c:axId val="854680656"/>
      </c:lineChart>
      <c:catAx>
        <c:axId val="8546744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80656"/>
        <c:crosses val="autoZero"/>
        <c:auto val="1"/>
        <c:lblAlgn val="ctr"/>
        <c:lblOffset val="100"/>
        <c:noMultiLvlLbl val="0"/>
      </c:catAx>
      <c:valAx>
        <c:axId val="8546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7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[Phase2.xlsx]Summary!PivotTable1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genres by revenue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Summary!$B$27:$B$37</c:f>
              <c:strCache>
                <c:ptCount val="10"/>
                <c:pt idx="0">
                  <c:v>Rock</c:v>
                </c:pt>
                <c:pt idx="1">
                  <c:v>Latin</c:v>
                </c:pt>
                <c:pt idx="2">
                  <c:v>Metal</c:v>
                </c:pt>
                <c:pt idx="3">
                  <c:v>Alternative &amp; Punk</c:v>
                </c:pt>
                <c:pt idx="4">
                  <c:v>TV Shows</c:v>
                </c:pt>
                <c:pt idx="5">
                  <c:v>Jazz</c:v>
                </c:pt>
                <c:pt idx="6">
                  <c:v>Blues</c:v>
                </c:pt>
                <c:pt idx="7">
                  <c:v>Drama</c:v>
                </c:pt>
                <c:pt idx="8">
                  <c:v>Classical</c:v>
                </c:pt>
                <c:pt idx="9">
                  <c:v>R&amp;B/Soul</c:v>
                </c:pt>
              </c:strCache>
            </c:strRef>
          </c:cat>
          <c:val>
            <c:numRef>
              <c:f>Summary!$C$27:$C$37</c:f>
              <c:numCache>
                <c:formatCode>General</c:formatCode>
                <c:ptCount val="10"/>
                <c:pt idx="0">
                  <c:v>826.65</c:v>
                </c:pt>
                <c:pt idx="1">
                  <c:v>382.14</c:v>
                </c:pt>
                <c:pt idx="2">
                  <c:v>261.36</c:v>
                </c:pt>
                <c:pt idx="3">
                  <c:v>241.56</c:v>
                </c:pt>
                <c:pt idx="4">
                  <c:v>93.53</c:v>
                </c:pt>
                <c:pt idx="5">
                  <c:v>79.2</c:v>
                </c:pt>
                <c:pt idx="6">
                  <c:v>60.39</c:v>
                </c:pt>
                <c:pt idx="7">
                  <c:v>57.71</c:v>
                </c:pt>
                <c:pt idx="8">
                  <c:v>40.590000000000003</c:v>
                </c:pt>
                <c:pt idx="9">
                  <c:v>40.590000000000003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8-4DB0-A319-97B3399A9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097168"/>
        <c:axId val="855094544"/>
      </c:barChart>
      <c:catAx>
        <c:axId val="85509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94544"/>
        <c:crosses val="autoZero"/>
        <c:auto val="1"/>
        <c:lblAlgn val="ctr"/>
        <c:lblOffset val="100"/>
        <c:noMultiLvlLbl val="0"/>
      </c:catAx>
      <c:valAx>
        <c:axId val="85509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[Phase2.xlsx]Summary!PivotTable2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artists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Summary!$F$27:$F$37</c:f>
              <c:strCache>
                <c:ptCount val="10"/>
                <c:pt idx="0">
                  <c:v>Iron Maiden</c:v>
                </c:pt>
                <c:pt idx="1">
                  <c:v>U2</c:v>
                </c:pt>
                <c:pt idx="2">
                  <c:v>Metallica</c:v>
                </c:pt>
                <c:pt idx="3">
                  <c:v>Led Zeppelin</c:v>
                </c:pt>
                <c:pt idx="4">
                  <c:v>Lost</c:v>
                </c:pt>
                <c:pt idx="5">
                  <c:v>The Office</c:v>
                </c:pt>
                <c:pt idx="6">
                  <c:v>Os Paralamas Do Sucesso</c:v>
                </c:pt>
                <c:pt idx="7">
                  <c:v>Deep Purple</c:v>
                </c:pt>
                <c:pt idx="8">
                  <c:v>Faith No More</c:v>
                </c:pt>
                <c:pt idx="9">
                  <c:v>Eric Clapton</c:v>
                </c:pt>
              </c:strCache>
            </c:strRef>
          </c:cat>
          <c:val>
            <c:numRef>
              <c:f>Summary!$G$27:$G$37</c:f>
              <c:numCache>
                <c:formatCode>General</c:formatCode>
                <c:ptCount val="10"/>
                <c:pt idx="0">
                  <c:v>138.6</c:v>
                </c:pt>
                <c:pt idx="1">
                  <c:v>105.93</c:v>
                </c:pt>
                <c:pt idx="2">
                  <c:v>90.09</c:v>
                </c:pt>
                <c:pt idx="3">
                  <c:v>86.13</c:v>
                </c:pt>
                <c:pt idx="4">
                  <c:v>81.59</c:v>
                </c:pt>
                <c:pt idx="5">
                  <c:v>49.75</c:v>
                </c:pt>
                <c:pt idx="6">
                  <c:v>44.55</c:v>
                </c:pt>
                <c:pt idx="7">
                  <c:v>43.56</c:v>
                </c:pt>
                <c:pt idx="8">
                  <c:v>41.58</c:v>
                </c:pt>
                <c:pt idx="9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8-4AE2-8D4D-7E9F5B19B2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3431336"/>
        <c:axId val="1003434944"/>
      </c:barChart>
      <c:catAx>
        <c:axId val="1003431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Artist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34944"/>
        <c:crosses val="autoZero"/>
        <c:auto val="1"/>
        <c:lblAlgn val="ctr"/>
        <c:lblOffset val="100"/>
        <c:noMultiLvlLbl val="0"/>
      </c:catAx>
      <c:valAx>
        <c:axId val="10034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3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[Phase2.xlsx]country_spend!PivotTable3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countries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'country_spend'!$B$30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'country_spend'!$A$31:$A$41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</c:strCache>
            </c:strRef>
          </c:cat>
          <c:val>
            <c:numRef>
              <c:f>'country_spend'!$B$31:$B$41</c:f>
              <c:numCache>
                <c:formatCode>General</c:formatCode>
                <c:ptCount val="10"/>
                <c:pt idx="0">
                  <c:v>523.05999999999995</c:v>
                </c:pt>
                <c:pt idx="1">
                  <c:v>303.95999999999998</c:v>
                </c:pt>
                <c:pt idx="2">
                  <c:v>195.1</c:v>
                </c:pt>
                <c:pt idx="3">
                  <c:v>190.1</c:v>
                </c:pt>
                <c:pt idx="4">
                  <c:v>156.47999999999999</c:v>
                </c:pt>
                <c:pt idx="5">
                  <c:v>112.86</c:v>
                </c:pt>
                <c:pt idx="6">
                  <c:v>90.24</c:v>
                </c:pt>
                <c:pt idx="7">
                  <c:v>77.239999999999995</c:v>
                </c:pt>
                <c:pt idx="8">
                  <c:v>75.260000000000005</c:v>
                </c:pt>
                <c:pt idx="9">
                  <c:v>46.62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F-4D7F-9D36-6A2EC865B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095528"/>
        <c:axId val="855096184"/>
      </c:barChart>
      <c:catAx>
        <c:axId val="855095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96184"/>
        <c:crosses val="autoZero"/>
        <c:auto val="1"/>
        <c:lblAlgn val="ctr"/>
        <c:lblOffset val="100"/>
        <c:noMultiLvlLbl val="0"/>
      </c:catAx>
      <c:valAx>
        <c:axId val="85509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9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[Phase2.xlsx]monthly_growth!PivotTable16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Month-over-month</a:t>
            </a:r>
            <a:r>
              <a:rPr lang="en-US" b="1" baseline="0"/>
              <a:t> growth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monthly_growth!$B$64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monthly_growth!$A$65:$A$125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monthly_growth!$B$65:$B$125</c:f>
              <c:numCache>
                <c:formatCode>General</c:formatCode>
                <c:ptCount val="60"/>
                <c:pt idx="1">
                  <c:v>1.9799999999999969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</c:v>
                </c:pt>
                <c:pt idx="13">
                  <c:v>-6</c:v>
                </c:pt>
                <c:pt idx="14">
                  <c:v>-2</c:v>
                </c:pt>
                <c:pt idx="15">
                  <c:v>-7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-0.98999999999999488</c:v>
                </c:pt>
                <c:pt idx="21">
                  <c:v>0.98999999999999488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-9</c:v>
                </c:pt>
                <c:pt idx="29">
                  <c:v>8</c:v>
                </c:pt>
                <c:pt idx="30">
                  <c:v>-13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-13.859999999999996</c:v>
                </c:pt>
                <c:pt idx="35">
                  <c:v>13.859999999999996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8</c:v>
                </c:pt>
                <c:pt idx="44">
                  <c:v>-0.90999999999999659</c:v>
                </c:pt>
                <c:pt idx="45">
                  <c:v>-4.0900000000000034</c:v>
                </c:pt>
                <c:pt idx="46">
                  <c:v>-5</c:v>
                </c:pt>
                <c:pt idx="47">
                  <c:v>0</c:v>
                </c:pt>
                <c:pt idx="48">
                  <c:v>0</c:v>
                </c:pt>
                <c:pt idx="49">
                  <c:v>-9.8999999999999986</c:v>
                </c:pt>
                <c:pt idx="50">
                  <c:v>9.8999999999999986</c:v>
                </c:pt>
                <c:pt idx="51">
                  <c:v>-3.9600000000000009</c:v>
                </c:pt>
                <c:pt idx="52">
                  <c:v>3.9600000000000009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12</c:v>
                </c:pt>
                <c:pt idx="59">
                  <c:v>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4-4C1E-9094-E23B7C28C06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672784"/>
        <c:axId val="854668848"/>
      </c:lineChart>
      <c:catAx>
        <c:axId val="85467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68848"/>
        <c:crosses val="autoZero"/>
        <c:auto val="1"/>
        <c:lblAlgn val="ctr"/>
        <c:lblOffset val="100"/>
        <c:noMultiLvlLbl val="0"/>
      </c:catAx>
      <c:valAx>
        <c:axId val="8546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 growth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yearly_growth!$A$2:$A$6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yearly_growth!$D$2:$D$6</c:f>
              <c:numCache>
                <c:formatCode>General</c:formatCode>
                <c:ptCount val="5"/>
                <c:pt idx="0">
                  <c:v>0</c:v>
                </c:pt>
                <c:pt idx="1">
                  <c:v>7.1</c:v>
                </c:pt>
                <c:pt idx="2">
                  <c:v>-2.5</c:v>
                </c:pt>
                <c:pt idx="3">
                  <c:v>1.7</c:v>
                </c:pt>
                <c:pt idx="4">
                  <c:v>-5.6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E-48E0-A95F-B40447D2A8B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674424"/>
        <c:axId val="854680656"/>
      </c:lineChart>
      <c:catAx>
        <c:axId val="854674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80656"/>
        <c:crosses val="autoZero"/>
        <c:auto val="1"/>
        <c:lblAlgn val="ctr"/>
        <c:lblOffset val="100"/>
        <c:noMultiLvlLbl val="0"/>
      </c:catAx>
      <c:valAx>
        <c:axId val="8546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74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152400</xdr:rowOff>
    </xdr:from>
    <xdr:to>
      <xdr:col>12</xdr:col>
      <xdr:colOff>66675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34760-750B-D527-C11C-9FB8EBA8C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180973</xdr:colOff>
      <xdr:row>7</xdr:row>
      <xdr:rowOff>66675</xdr:rowOff>
    </xdr:from>
    <xdr:to>
      <xdr:col>3</xdr:col>
      <xdr:colOff>1114425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D611F-7A7C-2B8D-E1DE-B9531DBA1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304799</xdr:colOff>
      <xdr:row>7</xdr:row>
      <xdr:rowOff>66675</xdr:rowOff>
    </xdr:from>
    <xdr:to>
      <xdr:col>8</xdr:col>
      <xdr:colOff>304800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D811D-3841-D5FF-3354-811BDF0B0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1028699</xdr:colOff>
      <xdr:row>45</xdr:row>
      <xdr:rowOff>66675</xdr:rowOff>
    </xdr:from>
    <xdr:to>
      <xdr:col>7</xdr:col>
      <xdr:colOff>885824</xdr:colOff>
      <xdr:row>61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23A83D-E919-1ED6-314A-04D01A951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1152524</xdr:colOff>
      <xdr:row>70</xdr:row>
      <xdr:rowOff>76200</xdr:rowOff>
    </xdr:from>
    <xdr:to>
      <xdr:col>7</xdr:col>
      <xdr:colOff>1019175</xdr:colOff>
      <xdr:row>86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90D5FB-8835-47B3-B47B-44BA7A300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114299</xdr:colOff>
      <xdr:row>70</xdr:row>
      <xdr:rowOff>76200</xdr:rowOff>
    </xdr:from>
    <xdr:to>
      <xdr:col>3</xdr:col>
      <xdr:colOff>866774</xdr:colOff>
      <xdr:row>87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0F4FD5-AF4F-4D6C-9FC3-3350DE342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54.487179861113" createdVersion="8" refreshedVersion="8" minRefreshableVersion="3" recordCount="24" xr:uid="{01C2F81D-3C2F-4985-8883-3A046BE7468D}">
  <cacheSource type="worksheet">
    <worksheetSource name="genre_revenue"/>
  </cacheSource>
  <cacheFields count="3">
    <cacheField name="genre" numFmtId="0">
      <sharedItems count="24">
        <s v="Rock"/>
        <s v="Latin"/>
        <s v="Metal"/>
        <s v="Alternative &amp; Punk"/>
        <s v="TV Shows"/>
        <s v="Jazz"/>
        <s v="Blues"/>
        <s v="Drama"/>
        <s v="R&amp;B/Soul"/>
        <s v="Classical"/>
        <s v="Sci Fi &amp; Fantasy"/>
        <s v="Reggae"/>
        <s v="Pop"/>
        <s v="Soundtrack"/>
        <s v="Comedy"/>
        <s v="Hip Hop/Rap"/>
        <s v="Bossa Nova"/>
        <s v="Alternative"/>
        <s v="World"/>
        <s v="Science Fiction"/>
        <s v="Heavy Metal"/>
        <s v="Electronica/Dance"/>
        <s v="Easy Listening"/>
        <s v="Rock And Roll"/>
      </sharedItems>
    </cacheField>
    <cacheField name="revenue" numFmtId="0">
      <sharedItems containsSemiMixedTypes="0" containsString="0" containsNumber="1" minValue="5.94" maxValue="826.65" count="22">
        <n v="826.65"/>
        <n v="382.14"/>
        <n v="261.36"/>
        <n v="241.56"/>
        <n v="93.53"/>
        <n v="79.2"/>
        <n v="60.39"/>
        <n v="57.71"/>
        <n v="40.590000000000003"/>
        <n v="39.799999999999997"/>
        <n v="29.7"/>
        <n v="27.72"/>
        <n v="19.8"/>
        <n v="17.91"/>
        <n v="16.829999999999998"/>
        <n v="14.85"/>
        <n v="13.86"/>
        <n v="12.87"/>
        <n v="11.94"/>
        <n v="11.88"/>
        <n v="9.9"/>
        <n v="5.94"/>
      </sharedItems>
    </cacheField>
    <cacheField name="revenue_rank" numFmtId="0">
      <sharedItems containsSemiMixedTypes="0" containsString="0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54.489437847224" createdVersion="8" refreshedVersion="8" minRefreshableVersion="3" recordCount="165" xr:uid="{2ECDA40E-985F-4DBD-82E3-1C95AFA3ED81}">
  <cacheSource type="worksheet">
    <worksheetSource name="artist_revenue"/>
  </cacheSource>
  <cacheFields count="3">
    <cacheField name="artist" numFmtId="0">
      <sharedItems count="165">
        <s v="Iron Maiden"/>
        <s v="U2"/>
        <s v="Metallica"/>
        <s v="Led Zeppelin"/>
        <s v="Lost"/>
        <s v="The Office"/>
        <s v="Os Paralamas Do Sucesso"/>
        <s v="Deep Purple"/>
        <s v="Faith No More"/>
        <s v="Eric Clapton"/>
        <s v="R.E.M."/>
        <s v="Queen"/>
        <s v="Creedence Clearwater Revival"/>
        <s v="Battlestar Galactica (Classic)"/>
        <s v="Guns N' Roses"/>
        <s v="Titãs"/>
        <s v="Green Day"/>
        <s v="Pearl Jam"/>
        <s v="Kiss"/>
        <s v="Various Artists"/>
        <s v="Van Halen"/>
        <s v="Chico Buarque"/>
        <s v="Red Hot Chili Peppers"/>
        <s v="Heroes"/>
        <s v="Lenny Kravitz"/>
        <s v="Chico Science &amp; Nação Zumbi"/>
        <s v="Battlestar Galactica"/>
        <s v="Ozzy Osbourne"/>
        <s v="Smashing Pumpkins"/>
        <s v="Tim Maia"/>
        <s v="Antônio Carlos Jobim"/>
        <s v="Foo Fighters"/>
        <s v="Caetano Veloso"/>
        <s v="Cássia Eller"/>
        <s v="Spyro Gyra"/>
        <s v="Gilberto Gil"/>
        <s v="The Who"/>
        <s v="Djavan"/>
        <s v="Jamiroquai"/>
        <s v="The Rolling Stones"/>
        <s v="Amy Winehouse"/>
        <s v="Miles Davis"/>
        <s v="Gene Krupa"/>
        <s v="Legião Urbana"/>
        <s v="The Tea Party"/>
        <s v="AC/DC"/>
        <s v="Audioslave"/>
        <s v="Cidade Negra"/>
        <s v="The Cult"/>
        <s v="Toquinho &amp; Vinícius"/>
        <s v="Milton Nascimento"/>
        <s v="Soundgarden"/>
        <s v="The Black Crowes"/>
        <s v="Elis Regina"/>
        <s v="Lulu Santos"/>
        <s v="O Terço"/>
        <s v="Bruce Dickinson"/>
        <s v="Santana"/>
        <s v="James Brown"/>
        <s v="Nirvana"/>
        <s v="System Of A Down"/>
        <s v="Body Count"/>
        <s v="Aerosmith"/>
        <s v="Frank Sinatra"/>
        <s v="Judas Priest"/>
        <s v="Marvin Gaye"/>
        <s v="Olodum"/>
        <s v="Raul Seixas"/>
        <s v="Skank"/>
        <s v="Stone Temple Pilots"/>
        <s v="The Clash"/>
        <s v="Black Sabbath"/>
        <s v="Gonzaguinha"/>
        <s v="Incognito"/>
        <s v="Passengers"/>
        <s v="Planet Hemp"/>
        <s v="Stevie Ray Vaughan &amp; Double Trouble"/>
        <s v="Zeca Pagodinho"/>
        <s v="R.E.M. Feat. Kate Pearson"/>
        <s v="Alanis Morissette"/>
        <s v="Black Label Society"/>
        <s v="David Coverdale"/>
        <s v="Os Mutantes"/>
        <s v="Falamansa"/>
        <s v="Funk Como Le Gusta"/>
        <s v="Godsmack"/>
        <s v="Jimi Hendrix"/>
        <s v="Marisa Monte"/>
        <s v="Men At Work"/>
        <s v="Page &amp; Plant"/>
        <s v="UB40"/>
        <s v="House Of Pain"/>
        <s v="Alice In Chains"/>
        <s v="Buddy Guy"/>
        <s v="Marcos Valle"/>
        <s v="Def Leppard"/>
        <s v="JET"/>
        <s v="Mötley Crüe"/>
        <s v="Raimundos"/>
        <s v="The Police"/>
        <s v="O Rappa"/>
        <s v="BackBeat"/>
        <s v="Ed Motta"/>
        <s v="Jorge Ben"/>
        <s v="Jota Quest"/>
        <s v="João Suplicy"/>
        <s v="Motörhead"/>
        <s v="Mônica Marianno"/>
        <s v="Rush"/>
        <s v="Velvet Revolver"/>
        <s v="Vinícius De Moraes"/>
        <s v="Accept"/>
        <s v="Cláudio Zoli"/>
        <s v="Marillion"/>
        <s v="Paul D'Ianno"/>
        <s v="Terry Bozzio, Tony Levin &amp; Steve Stevens"/>
        <s v="Scorpions"/>
        <s v="Aquaman"/>
        <s v="Apocalyptica"/>
        <s v="Billy Cobham"/>
        <s v="Frank Zappa &amp; Captain Beefheart"/>
        <s v="Dennis Chambers"/>
        <s v="Joe Satriani"/>
        <s v="Pink Floyd"/>
        <s v="The Doors"/>
        <s v="Temple of the Dog"/>
        <s v="Chris Cornell"/>
        <s v="Michael Tilson Thomas &amp; San Francisco Symphony"/>
        <s v="Academy of St. Martin in the Fields, Sir Neville Marriner &amp; Thurston Dart"/>
        <s v="Equale Brass Ensemble, John Eliot Gardiner &amp; Munich Monteverdi Orchestra and Choir"/>
        <s v="Emerson String Quartet"/>
        <s v="Eugene Ormandy"/>
        <s v="Chicago Symphony Orchestra &amp; Fritz Reiner"/>
        <s v="Berliner Philharmoniker &amp; Herbert Von Karajan"/>
        <s v="Luciana Souza/Romero Lubambo"/>
        <s v="Scholars Baroque Ensemble"/>
        <s v="Academy of St. Martin in the Fields, John Birch, Sir Neville Marriner &amp; Sylvia McNair"/>
        <s v="Maurizio Pollini"/>
        <s v="Calexico"/>
        <s v="Otto Klemperer &amp; Philharmonia Orchestra"/>
        <s v="Yehudi Menuhin"/>
        <s v="The 12 Cellists of The Berlin Philharmonic"/>
        <s v="Roger Norrington, London Classical Players"/>
        <s v="Julian Bream"/>
        <s v="The King's Singers"/>
        <s v="Michele Campanella"/>
        <s v="Dread Zeppelin"/>
        <s v="Habib Koité and Bamada"/>
        <s v="English Concert &amp; Trevor Pinnock"/>
        <s v="Royal Philharmonic Orchestra &amp; Sir Thomas Beecham"/>
        <s v="Edo de Waart &amp; San Francisco Symphony"/>
        <s v="Philharmonia Orchestra &amp; Sir Neville Marriner"/>
        <s v="Adrian Leaper &amp; Doreen de Feis"/>
        <s v="Kent Nagano and Orchestre de l'Opéra de Lyon"/>
        <s v="Martin Roscoe"/>
        <s v="The Posies"/>
        <s v="Yo-Yo Ma"/>
        <s v="Sir Georg Solti &amp; Wiener Philharmoniker"/>
        <s v="Orchestra of The Age of Enlightenment"/>
        <s v="Emanuel Ax, Eugene Ormandy &amp; Philadelphia Orchestra"/>
        <s v="Berliner Philharmoniker &amp; Hans Rosbaud"/>
        <s v="Academy of St. Martin in the Fields &amp; Sir Neville Marriner"/>
        <s v="Felix Schmidt, London Symphony Orchestra &amp; Rafael Frühbeck de Burgos"/>
        <s v="Antal Doráti &amp; London Symphony Orchestra"/>
        <s v="Göteborgs Symfoniker &amp; Neeme Järvi"/>
      </sharedItems>
    </cacheField>
    <cacheField name="revenue" numFmtId="0">
      <sharedItems containsSemiMixedTypes="0" containsString="0" containsNumber="1" minValue="0.99" maxValue="138.6" count="48">
        <n v="138.6"/>
        <n v="105.93"/>
        <n v="90.09"/>
        <n v="86.13"/>
        <n v="81.59"/>
        <n v="49.75"/>
        <n v="44.55"/>
        <n v="43.56"/>
        <n v="41.58"/>
        <n v="39.6"/>
        <n v="38.61"/>
        <n v="36.630000000000003"/>
        <n v="35.82"/>
        <n v="35.64"/>
        <n v="33.659999999999997"/>
        <n v="32.67"/>
        <n v="31.68"/>
        <n v="30.69"/>
        <n v="28.71"/>
        <n v="26.73"/>
        <n v="25.87"/>
        <n v="25.74"/>
        <n v="24.75"/>
        <n v="23.88"/>
        <n v="23.76"/>
        <n v="21.78"/>
        <n v="20.79"/>
        <n v="19.8"/>
        <n v="18.809999999999999"/>
        <n v="17.82"/>
        <n v="16.829999999999998"/>
        <n v="15.84"/>
        <n v="14.85"/>
        <n v="13.86"/>
        <n v="12.87"/>
        <n v="11.88"/>
        <n v="10.89"/>
        <n v="9.9"/>
        <n v="8.91"/>
        <n v="7.92"/>
        <n v="6.93"/>
        <n v="5.94"/>
        <n v="4.95"/>
        <n v="3.98"/>
        <n v="3.96"/>
        <n v="2.97"/>
        <n v="1.98"/>
        <n v="0.99"/>
      </sharedItems>
    </cacheField>
    <cacheField name="revenue_rank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54.493048032411" createdVersion="8" refreshedVersion="8" minRefreshableVersion="3" recordCount="24" xr:uid="{C0E8633A-DF18-4685-B3FE-C0DC2D070E83}">
  <cacheSource type="worksheet">
    <worksheetSource name="country_spend"/>
  </cacheSource>
  <cacheFields count="3">
    <cacheField name="Country" numFmtId="0">
      <sharedItems count="24">
        <s v="USA"/>
        <s v="Canada"/>
        <s v="France"/>
        <s v="Brazil"/>
        <s v="Germany"/>
        <s v="United Kingdom"/>
        <s v="Czech Republic"/>
        <s v="Portugal"/>
        <s v="India"/>
        <s v="Chile"/>
        <s v="Ireland"/>
        <s v="Hungary"/>
        <s v="Austria"/>
        <s v="Finland"/>
        <s v="Netherlands"/>
        <s v="Norway"/>
        <s v="Sweden"/>
        <s v="Belgium"/>
        <s v="Australia"/>
        <s v="Spain"/>
        <s v="Denmark"/>
        <s v="Italy"/>
        <s v="Poland"/>
        <s v="Argentina"/>
      </sharedItems>
    </cacheField>
    <cacheField name="total_spend" numFmtId="0">
      <sharedItems containsSemiMixedTypes="0" containsString="0" containsNumber="1" minValue="37.619999999999997" maxValue="523.05999999999995"/>
    </cacheField>
    <cacheField name="spend_rank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6254.505448148149" createdVersion="8" refreshedVersion="8" minRefreshableVersion="3" recordCount="60" xr:uid="{5C4C7E73-51C0-4BA1-AEFD-23B371F32BAC}">
  <cacheSource type="worksheet">
    <worksheetSource name="monthly_growth"/>
  </cacheSource>
  <cacheFields count="7">
    <cacheField name="invoice_year" numFmtId="0">
      <sharedItems containsSemiMixedTypes="0" containsString="0" containsNumber="1" containsInteger="1" minValue="2021" maxValue="2025"/>
    </cacheField>
    <cacheField name="invoice_month" numFmtId="0">
      <sharedItems containsSemiMixedTypes="0" containsString="0" containsNumber="1" containsInteger="1" minValue="1" maxValue="12"/>
    </cacheField>
    <cacheField name="revenue" numFmtId="0">
      <sharedItems containsSemiMixedTypes="0" containsString="0" containsNumber="1" minValue="23.76" maxValue="52.62"/>
    </cacheField>
    <cacheField name="prev_month_revenue" numFmtId="0">
      <sharedItems/>
    </cacheField>
    <cacheField name="MoM_growth_pct" numFmtId="0">
      <sharedItems/>
    </cacheField>
    <cacheField name="invoice_month_c" numFmtId="166">
      <sharedItems containsSemiMixedTypes="0" containsNonDate="0" containsDate="1" containsString="0" minDate="2021-01-01T00:00:00" maxDate="2025-12-02T00:00:00" count="60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Column1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"/>
  </r>
  <r>
    <x v="1"/>
    <x v="1"/>
    <n v="2"/>
  </r>
  <r>
    <x v="2"/>
    <x v="2"/>
    <n v="3"/>
  </r>
  <r>
    <x v="3"/>
    <x v="3"/>
    <n v="4"/>
  </r>
  <r>
    <x v="4"/>
    <x v="4"/>
    <n v="5"/>
  </r>
  <r>
    <x v="5"/>
    <x v="5"/>
    <n v="6"/>
  </r>
  <r>
    <x v="6"/>
    <x v="6"/>
    <n v="7"/>
  </r>
  <r>
    <x v="7"/>
    <x v="7"/>
    <n v="8"/>
  </r>
  <r>
    <x v="8"/>
    <x v="8"/>
    <n v="9"/>
  </r>
  <r>
    <x v="9"/>
    <x v="8"/>
    <n v="9"/>
  </r>
  <r>
    <x v="10"/>
    <x v="9"/>
    <n v="10"/>
  </r>
  <r>
    <x v="11"/>
    <x v="10"/>
    <n v="11"/>
  </r>
  <r>
    <x v="12"/>
    <x v="11"/>
    <n v="12"/>
  </r>
  <r>
    <x v="13"/>
    <x v="12"/>
    <n v="13"/>
  </r>
  <r>
    <x v="14"/>
    <x v="13"/>
    <n v="14"/>
  </r>
  <r>
    <x v="15"/>
    <x v="14"/>
    <n v="15"/>
  </r>
  <r>
    <x v="16"/>
    <x v="15"/>
    <n v="16"/>
  </r>
  <r>
    <x v="17"/>
    <x v="16"/>
    <n v="17"/>
  </r>
  <r>
    <x v="18"/>
    <x v="17"/>
    <n v="18"/>
  </r>
  <r>
    <x v="19"/>
    <x v="18"/>
    <n v="19"/>
  </r>
  <r>
    <x v="20"/>
    <x v="19"/>
    <n v="20"/>
  </r>
  <r>
    <x v="21"/>
    <x v="19"/>
    <n v="20"/>
  </r>
  <r>
    <x v="22"/>
    <x v="20"/>
    <n v="21"/>
  </r>
  <r>
    <x v="23"/>
    <x v="21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n v="1"/>
  </r>
  <r>
    <x v="1"/>
    <x v="1"/>
    <n v="2"/>
  </r>
  <r>
    <x v="2"/>
    <x v="2"/>
    <n v="3"/>
  </r>
  <r>
    <x v="3"/>
    <x v="3"/>
    <n v="4"/>
  </r>
  <r>
    <x v="4"/>
    <x v="4"/>
    <n v="5"/>
  </r>
  <r>
    <x v="5"/>
    <x v="5"/>
    <n v="6"/>
  </r>
  <r>
    <x v="6"/>
    <x v="6"/>
    <n v="7"/>
  </r>
  <r>
    <x v="7"/>
    <x v="7"/>
    <n v="8"/>
  </r>
  <r>
    <x v="8"/>
    <x v="8"/>
    <n v="9"/>
  </r>
  <r>
    <x v="9"/>
    <x v="9"/>
    <n v="10"/>
  </r>
  <r>
    <x v="10"/>
    <x v="10"/>
    <n v="11"/>
  </r>
  <r>
    <x v="11"/>
    <x v="11"/>
    <n v="12"/>
  </r>
  <r>
    <x v="12"/>
    <x v="11"/>
    <n v="12"/>
  </r>
  <r>
    <x v="13"/>
    <x v="12"/>
    <n v="13"/>
  </r>
  <r>
    <x v="14"/>
    <x v="13"/>
    <n v="14"/>
  </r>
  <r>
    <x v="15"/>
    <x v="14"/>
    <n v="15"/>
  </r>
  <r>
    <x v="16"/>
    <x v="15"/>
    <n v="16"/>
  </r>
  <r>
    <x v="17"/>
    <x v="16"/>
    <n v="17"/>
  </r>
  <r>
    <x v="18"/>
    <x v="17"/>
    <n v="18"/>
  </r>
  <r>
    <x v="19"/>
    <x v="18"/>
    <n v="19"/>
  </r>
  <r>
    <x v="20"/>
    <x v="18"/>
    <n v="19"/>
  </r>
  <r>
    <x v="21"/>
    <x v="19"/>
    <n v="20"/>
  </r>
  <r>
    <x v="22"/>
    <x v="19"/>
    <n v="20"/>
  </r>
  <r>
    <x v="23"/>
    <x v="20"/>
    <n v="21"/>
  </r>
  <r>
    <x v="24"/>
    <x v="21"/>
    <n v="22"/>
  </r>
  <r>
    <x v="25"/>
    <x v="22"/>
    <n v="23"/>
  </r>
  <r>
    <x v="26"/>
    <x v="23"/>
    <n v="24"/>
  </r>
  <r>
    <x v="27"/>
    <x v="24"/>
    <n v="25"/>
  </r>
  <r>
    <x v="28"/>
    <x v="24"/>
    <n v="25"/>
  </r>
  <r>
    <x v="29"/>
    <x v="24"/>
    <n v="25"/>
  </r>
  <r>
    <x v="30"/>
    <x v="25"/>
    <n v="26"/>
  </r>
  <r>
    <x v="31"/>
    <x v="25"/>
    <n v="26"/>
  </r>
  <r>
    <x v="32"/>
    <x v="26"/>
    <n v="27"/>
  </r>
  <r>
    <x v="33"/>
    <x v="26"/>
    <n v="27"/>
  </r>
  <r>
    <x v="34"/>
    <x v="27"/>
    <n v="28"/>
  </r>
  <r>
    <x v="35"/>
    <x v="27"/>
    <n v="28"/>
  </r>
  <r>
    <x v="36"/>
    <x v="28"/>
    <n v="29"/>
  </r>
  <r>
    <x v="37"/>
    <x v="29"/>
    <n v="30"/>
  </r>
  <r>
    <x v="38"/>
    <x v="29"/>
    <n v="30"/>
  </r>
  <r>
    <x v="39"/>
    <x v="29"/>
    <n v="30"/>
  </r>
  <r>
    <x v="40"/>
    <x v="29"/>
    <n v="30"/>
  </r>
  <r>
    <x v="41"/>
    <x v="30"/>
    <n v="31"/>
  </r>
  <r>
    <x v="42"/>
    <x v="30"/>
    <n v="31"/>
  </r>
  <r>
    <x v="43"/>
    <x v="30"/>
    <n v="31"/>
  </r>
  <r>
    <x v="44"/>
    <x v="30"/>
    <n v="31"/>
  </r>
  <r>
    <x v="45"/>
    <x v="31"/>
    <n v="32"/>
  </r>
  <r>
    <x v="46"/>
    <x v="31"/>
    <n v="32"/>
  </r>
  <r>
    <x v="47"/>
    <x v="31"/>
    <n v="32"/>
  </r>
  <r>
    <x v="48"/>
    <x v="31"/>
    <n v="32"/>
  </r>
  <r>
    <x v="49"/>
    <x v="32"/>
    <n v="33"/>
  </r>
  <r>
    <x v="50"/>
    <x v="32"/>
    <n v="33"/>
  </r>
  <r>
    <x v="51"/>
    <x v="32"/>
    <n v="33"/>
  </r>
  <r>
    <x v="52"/>
    <x v="33"/>
    <n v="34"/>
  </r>
  <r>
    <x v="53"/>
    <x v="34"/>
    <n v="35"/>
  </r>
  <r>
    <x v="54"/>
    <x v="34"/>
    <n v="35"/>
  </r>
  <r>
    <x v="55"/>
    <x v="34"/>
    <n v="35"/>
  </r>
  <r>
    <x v="56"/>
    <x v="35"/>
    <n v="36"/>
  </r>
  <r>
    <x v="57"/>
    <x v="35"/>
    <n v="36"/>
  </r>
  <r>
    <x v="58"/>
    <x v="35"/>
    <n v="36"/>
  </r>
  <r>
    <x v="59"/>
    <x v="35"/>
    <n v="36"/>
  </r>
  <r>
    <x v="60"/>
    <x v="35"/>
    <n v="36"/>
  </r>
  <r>
    <x v="61"/>
    <x v="36"/>
    <n v="37"/>
  </r>
  <r>
    <x v="62"/>
    <x v="37"/>
    <n v="38"/>
  </r>
  <r>
    <x v="63"/>
    <x v="37"/>
    <n v="38"/>
  </r>
  <r>
    <x v="64"/>
    <x v="37"/>
    <n v="38"/>
  </r>
  <r>
    <x v="65"/>
    <x v="37"/>
    <n v="38"/>
  </r>
  <r>
    <x v="66"/>
    <x v="37"/>
    <n v="38"/>
  </r>
  <r>
    <x v="67"/>
    <x v="37"/>
    <n v="38"/>
  </r>
  <r>
    <x v="68"/>
    <x v="37"/>
    <n v="38"/>
  </r>
  <r>
    <x v="69"/>
    <x v="37"/>
    <n v="38"/>
  </r>
  <r>
    <x v="70"/>
    <x v="37"/>
    <n v="38"/>
  </r>
  <r>
    <x v="71"/>
    <x v="38"/>
    <n v="39"/>
  </r>
  <r>
    <x v="72"/>
    <x v="38"/>
    <n v="39"/>
  </r>
  <r>
    <x v="73"/>
    <x v="38"/>
    <n v="39"/>
  </r>
  <r>
    <x v="74"/>
    <x v="38"/>
    <n v="39"/>
  </r>
  <r>
    <x v="75"/>
    <x v="38"/>
    <n v="39"/>
  </r>
  <r>
    <x v="76"/>
    <x v="38"/>
    <n v="39"/>
  </r>
  <r>
    <x v="77"/>
    <x v="38"/>
    <n v="39"/>
  </r>
  <r>
    <x v="78"/>
    <x v="38"/>
    <n v="39"/>
  </r>
  <r>
    <x v="79"/>
    <x v="39"/>
    <n v="40"/>
  </r>
  <r>
    <x v="80"/>
    <x v="39"/>
    <n v="40"/>
  </r>
  <r>
    <x v="81"/>
    <x v="39"/>
    <n v="40"/>
  </r>
  <r>
    <x v="82"/>
    <x v="39"/>
    <n v="40"/>
  </r>
  <r>
    <x v="83"/>
    <x v="39"/>
    <n v="40"/>
  </r>
  <r>
    <x v="84"/>
    <x v="39"/>
    <n v="40"/>
  </r>
  <r>
    <x v="85"/>
    <x v="39"/>
    <n v="40"/>
  </r>
  <r>
    <x v="86"/>
    <x v="39"/>
    <n v="40"/>
  </r>
  <r>
    <x v="87"/>
    <x v="39"/>
    <n v="40"/>
  </r>
  <r>
    <x v="88"/>
    <x v="39"/>
    <n v="40"/>
  </r>
  <r>
    <x v="89"/>
    <x v="39"/>
    <n v="40"/>
  </r>
  <r>
    <x v="90"/>
    <x v="39"/>
    <n v="40"/>
  </r>
  <r>
    <x v="91"/>
    <x v="39"/>
    <n v="40"/>
  </r>
  <r>
    <x v="92"/>
    <x v="40"/>
    <n v="41"/>
  </r>
  <r>
    <x v="93"/>
    <x v="40"/>
    <n v="41"/>
  </r>
  <r>
    <x v="94"/>
    <x v="40"/>
    <n v="41"/>
  </r>
  <r>
    <x v="95"/>
    <x v="40"/>
    <n v="41"/>
  </r>
  <r>
    <x v="96"/>
    <x v="40"/>
    <n v="41"/>
  </r>
  <r>
    <x v="97"/>
    <x v="40"/>
    <n v="41"/>
  </r>
  <r>
    <x v="98"/>
    <x v="40"/>
    <n v="41"/>
  </r>
  <r>
    <x v="99"/>
    <x v="40"/>
    <n v="41"/>
  </r>
  <r>
    <x v="100"/>
    <x v="40"/>
    <n v="41"/>
  </r>
  <r>
    <x v="101"/>
    <x v="41"/>
    <n v="42"/>
  </r>
  <r>
    <x v="102"/>
    <x v="41"/>
    <n v="42"/>
  </r>
  <r>
    <x v="103"/>
    <x v="41"/>
    <n v="42"/>
  </r>
  <r>
    <x v="104"/>
    <x v="41"/>
    <n v="42"/>
  </r>
  <r>
    <x v="105"/>
    <x v="41"/>
    <n v="42"/>
  </r>
  <r>
    <x v="106"/>
    <x v="41"/>
    <n v="42"/>
  </r>
  <r>
    <x v="107"/>
    <x v="41"/>
    <n v="42"/>
  </r>
  <r>
    <x v="108"/>
    <x v="41"/>
    <n v="42"/>
  </r>
  <r>
    <x v="109"/>
    <x v="41"/>
    <n v="42"/>
  </r>
  <r>
    <x v="110"/>
    <x v="41"/>
    <n v="42"/>
  </r>
  <r>
    <x v="111"/>
    <x v="42"/>
    <n v="43"/>
  </r>
  <r>
    <x v="112"/>
    <x v="42"/>
    <n v="43"/>
  </r>
  <r>
    <x v="113"/>
    <x v="42"/>
    <n v="43"/>
  </r>
  <r>
    <x v="114"/>
    <x v="42"/>
    <n v="43"/>
  </r>
  <r>
    <x v="115"/>
    <x v="42"/>
    <n v="43"/>
  </r>
  <r>
    <x v="116"/>
    <x v="42"/>
    <n v="43"/>
  </r>
  <r>
    <x v="117"/>
    <x v="43"/>
    <n v="44"/>
  </r>
  <r>
    <x v="118"/>
    <x v="44"/>
    <n v="45"/>
  </r>
  <r>
    <x v="119"/>
    <x v="44"/>
    <n v="45"/>
  </r>
  <r>
    <x v="120"/>
    <x v="44"/>
    <n v="45"/>
  </r>
  <r>
    <x v="121"/>
    <x v="44"/>
    <n v="45"/>
  </r>
  <r>
    <x v="122"/>
    <x v="44"/>
    <n v="45"/>
  </r>
  <r>
    <x v="123"/>
    <x v="44"/>
    <n v="45"/>
  </r>
  <r>
    <x v="124"/>
    <x v="44"/>
    <n v="45"/>
  </r>
  <r>
    <x v="125"/>
    <x v="44"/>
    <n v="45"/>
  </r>
  <r>
    <x v="126"/>
    <x v="44"/>
    <n v="45"/>
  </r>
  <r>
    <x v="127"/>
    <x v="45"/>
    <n v="46"/>
  </r>
  <r>
    <x v="128"/>
    <x v="46"/>
    <n v="47"/>
  </r>
  <r>
    <x v="129"/>
    <x v="46"/>
    <n v="47"/>
  </r>
  <r>
    <x v="130"/>
    <x v="46"/>
    <n v="47"/>
  </r>
  <r>
    <x v="131"/>
    <x v="46"/>
    <n v="47"/>
  </r>
  <r>
    <x v="132"/>
    <x v="46"/>
    <n v="47"/>
  </r>
  <r>
    <x v="133"/>
    <x v="46"/>
    <n v="47"/>
  </r>
  <r>
    <x v="134"/>
    <x v="47"/>
    <n v="48"/>
  </r>
  <r>
    <x v="135"/>
    <x v="47"/>
    <n v="48"/>
  </r>
  <r>
    <x v="136"/>
    <x v="47"/>
    <n v="48"/>
  </r>
  <r>
    <x v="137"/>
    <x v="47"/>
    <n v="48"/>
  </r>
  <r>
    <x v="138"/>
    <x v="47"/>
    <n v="48"/>
  </r>
  <r>
    <x v="139"/>
    <x v="47"/>
    <n v="48"/>
  </r>
  <r>
    <x v="140"/>
    <x v="47"/>
    <n v="48"/>
  </r>
  <r>
    <x v="141"/>
    <x v="47"/>
    <n v="48"/>
  </r>
  <r>
    <x v="142"/>
    <x v="47"/>
    <n v="48"/>
  </r>
  <r>
    <x v="143"/>
    <x v="47"/>
    <n v="48"/>
  </r>
  <r>
    <x v="144"/>
    <x v="47"/>
    <n v="48"/>
  </r>
  <r>
    <x v="145"/>
    <x v="47"/>
    <n v="48"/>
  </r>
  <r>
    <x v="146"/>
    <x v="47"/>
    <n v="48"/>
  </r>
  <r>
    <x v="147"/>
    <x v="47"/>
    <n v="48"/>
  </r>
  <r>
    <x v="148"/>
    <x v="47"/>
    <n v="48"/>
  </r>
  <r>
    <x v="149"/>
    <x v="47"/>
    <n v="48"/>
  </r>
  <r>
    <x v="150"/>
    <x v="47"/>
    <n v="48"/>
  </r>
  <r>
    <x v="151"/>
    <x v="47"/>
    <n v="48"/>
  </r>
  <r>
    <x v="152"/>
    <x v="47"/>
    <n v="48"/>
  </r>
  <r>
    <x v="153"/>
    <x v="47"/>
    <n v="48"/>
  </r>
  <r>
    <x v="154"/>
    <x v="47"/>
    <n v="48"/>
  </r>
  <r>
    <x v="155"/>
    <x v="47"/>
    <n v="48"/>
  </r>
  <r>
    <x v="156"/>
    <x v="47"/>
    <n v="48"/>
  </r>
  <r>
    <x v="157"/>
    <x v="47"/>
    <n v="48"/>
  </r>
  <r>
    <x v="158"/>
    <x v="47"/>
    <n v="48"/>
  </r>
  <r>
    <x v="159"/>
    <x v="47"/>
    <n v="48"/>
  </r>
  <r>
    <x v="160"/>
    <x v="47"/>
    <n v="48"/>
  </r>
  <r>
    <x v="161"/>
    <x v="47"/>
    <n v="48"/>
  </r>
  <r>
    <x v="162"/>
    <x v="47"/>
    <n v="48"/>
  </r>
  <r>
    <x v="163"/>
    <x v="47"/>
    <n v="48"/>
  </r>
  <r>
    <x v="164"/>
    <x v="47"/>
    <n v="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523.05999999999995"/>
    <n v="1"/>
  </r>
  <r>
    <x v="1"/>
    <n v="303.95999999999998"/>
    <n v="2"/>
  </r>
  <r>
    <x v="2"/>
    <n v="195.1"/>
    <n v="3"/>
  </r>
  <r>
    <x v="3"/>
    <n v="190.1"/>
    <n v="4"/>
  </r>
  <r>
    <x v="4"/>
    <n v="156.47999999999999"/>
    <n v="5"/>
  </r>
  <r>
    <x v="5"/>
    <n v="112.86"/>
    <n v="6"/>
  </r>
  <r>
    <x v="6"/>
    <n v="90.24"/>
    <n v="7"/>
  </r>
  <r>
    <x v="7"/>
    <n v="77.239999999999995"/>
    <n v="8"/>
  </r>
  <r>
    <x v="8"/>
    <n v="75.260000000000005"/>
    <n v="9"/>
  </r>
  <r>
    <x v="9"/>
    <n v="46.62"/>
    <n v="10"/>
  </r>
  <r>
    <x v="10"/>
    <n v="45.62"/>
    <n v="11"/>
  </r>
  <r>
    <x v="11"/>
    <n v="45.62"/>
    <n v="11"/>
  </r>
  <r>
    <x v="12"/>
    <n v="42.62"/>
    <n v="12"/>
  </r>
  <r>
    <x v="13"/>
    <n v="41.62"/>
    <n v="13"/>
  </r>
  <r>
    <x v="14"/>
    <n v="40.619999999999997"/>
    <n v="14"/>
  </r>
  <r>
    <x v="15"/>
    <n v="39.619999999999997"/>
    <n v="15"/>
  </r>
  <r>
    <x v="16"/>
    <n v="38.619999999999997"/>
    <n v="16"/>
  </r>
  <r>
    <x v="17"/>
    <n v="37.619999999999997"/>
    <n v="17"/>
  </r>
  <r>
    <x v="18"/>
    <n v="37.619999999999997"/>
    <n v="17"/>
  </r>
  <r>
    <x v="19"/>
    <n v="37.619999999999997"/>
    <n v="17"/>
  </r>
  <r>
    <x v="20"/>
    <n v="37.619999999999997"/>
    <n v="17"/>
  </r>
  <r>
    <x v="21"/>
    <n v="37.619999999999997"/>
    <n v="17"/>
  </r>
  <r>
    <x v="22"/>
    <n v="37.619999999999997"/>
    <n v="17"/>
  </r>
  <r>
    <x v="23"/>
    <n v="37.619999999999997"/>
    <n v="1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1"/>
    <n v="1"/>
    <n v="35.64"/>
    <s v="NULL"/>
    <s v="NULL"/>
    <x v="0"/>
    <x v="0"/>
  </r>
  <r>
    <n v="2021"/>
    <n v="2"/>
    <n v="37.619999999999997"/>
    <s v="35.64"/>
    <s v="5.6"/>
    <x v="1"/>
    <x v="1"/>
  </r>
  <r>
    <n v="2021"/>
    <n v="3"/>
    <n v="37.619999999999997"/>
    <s v="37.62"/>
    <s v="0.0"/>
    <x v="2"/>
    <x v="2"/>
  </r>
  <r>
    <n v="2021"/>
    <n v="4"/>
    <n v="37.619999999999997"/>
    <s v="37.62"/>
    <s v="0.0"/>
    <x v="3"/>
    <x v="3"/>
  </r>
  <r>
    <n v="2021"/>
    <n v="5"/>
    <n v="37.619999999999997"/>
    <s v="37.62"/>
    <s v="0.0"/>
    <x v="4"/>
    <x v="4"/>
  </r>
  <r>
    <n v="2021"/>
    <n v="6"/>
    <n v="37.619999999999997"/>
    <s v="37.62"/>
    <s v="0.0"/>
    <x v="5"/>
    <x v="5"/>
  </r>
  <r>
    <n v="2021"/>
    <n v="7"/>
    <n v="37.619999999999997"/>
    <s v="37.62"/>
    <s v="0.0"/>
    <x v="6"/>
    <x v="6"/>
  </r>
  <r>
    <n v="2021"/>
    <n v="8"/>
    <n v="37.619999999999997"/>
    <s v="37.62"/>
    <s v="0.0"/>
    <x v="7"/>
    <x v="7"/>
  </r>
  <r>
    <n v="2021"/>
    <n v="9"/>
    <n v="37.619999999999997"/>
    <s v="37.62"/>
    <s v="0.0"/>
    <x v="8"/>
    <x v="8"/>
  </r>
  <r>
    <n v="2021"/>
    <n v="10"/>
    <n v="37.619999999999997"/>
    <s v="37.62"/>
    <s v="0.0"/>
    <x v="9"/>
    <x v="9"/>
  </r>
  <r>
    <n v="2021"/>
    <n v="11"/>
    <n v="37.619999999999997"/>
    <s v="37.62"/>
    <s v="0.0"/>
    <x v="10"/>
    <x v="10"/>
  </r>
  <r>
    <n v="2021"/>
    <n v="12"/>
    <n v="37.619999999999997"/>
    <s v="37.62"/>
    <s v="0.0"/>
    <x v="11"/>
    <x v="11"/>
  </r>
  <r>
    <n v="2022"/>
    <n v="1"/>
    <n v="52.62"/>
    <s v="37.62"/>
    <s v="39.9"/>
    <x v="12"/>
    <x v="0"/>
  </r>
  <r>
    <n v="2022"/>
    <n v="2"/>
    <n v="46.62"/>
    <s v="52.62"/>
    <s v="-11.4"/>
    <x v="13"/>
    <x v="1"/>
  </r>
  <r>
    <n v="2022"/>
    <n v="3"/>
    <n v="44.62"/>
    <s v="46.62"/>
    <s v="-4.3"/>
    <x v="14"/>
    <x v="2"/>
  </r>
  <r>
    <n v="2022"/>
    <n v="4"/>
    <n v="37.619999999999997"/>
    <s v="44.62"/>
    <s v="-15.7"/>
    <x v="15"/>
    <x v="3"/>
  </r>
  <r>
    <n v="2022"/>
    <n v="5"/>
    <n v="37.619999999999997"/>
    <s v="37.62"/>
    <s v="0.0"/>
    <x v="16"/>
    <x v="4"/>
  </r>
  <r>
    <n v="2022"/>
    <n v="6"/>
    <n v="37.619999999999997"/>
    <s v="37.62"/>
    <s v="0.0"/>
    <x v="17"/>
    <x v="5"/>
  </r>
  <r>
    <n v="2022"/>
    <n v="7"/>
    <n v="37.619999999999997"/>
    <s v="37.62"/>
    <s v="0.0"/>
    <x v="18"/>
    <x v="6"/>
  </r>
  <r>
    <n v="2022"/>
    <n v="8"/>
    <n v="37.619999999999997"/>
    <s v="37.62"/>
    <s v="0.0"/>
    <x v="19"/>
    <x v="7"/>
  </r>
  <r>
    <n v="2022"/>
    <n v="9"/>
    <n v="36.630000000000003"/>
    <s v="37.62"/>
    <s v="-2.6"/>
    <x v="20"/>
    <x v="8"/>
  </r>
  <r>
    <n v="2022"/>
    <n v="10"/>
    <n v="37.619999999999997"/>
    <s v="36.63"/>
    <s v="2.7"/>
    <x v="21"/>
    <x v="9"/>
  </r>
  <r>
    <n v="2022"/>
    <n v="11"/>
    <n v="37.619999999999997"/>
    <s v="37.62"/>
    <s v="0.0"/>
    <x v="22"/>
    <x v="10"/>
  </r>
  <r>
    <n v="2022"/>
    <n v="12"/>
    <n v="37.619999999999997"/>
    <s v="37.62"/>
    <s v="0.0"/>
    <x v="23"/>
    <x v="11"/>
  </r>
  <r>
    <n v="2023"/>
    <n v="1"/>
    <n v="37.619999999999997"/>
    <s v="37.62"/>
    <s v="0.0"/>
    <x v="24"/>
    <x v="0"/>
  </r>
  <r>
    <n v="2023"/>
    <n v="2"/>
    <n v="37.619999999999997"/>
    <s v="37.62"/>
    <s v="0.0"/>
    <x v="25"/>
    <x v="1"/>
  </r>
  <r>
    <n v="2023"/>
    <n v="3"/>
    <n v="37.619999999999997"/>
    <s v="37.62"/>
    <s v="0.0"/>
    <x v="26"/>
    <x v="2"/>
  </r>
  <r>
    <n v="2023"/>
    <n v="4"/>
    <n v="51.62"/>
    <s v="37.62"/>
    <s v="37.2"/>
    <x v="27"/>
    <x v="3"/>
  </r>
  <r>
    <n v="2023"/>
    <n v="5"/>
    <n v="42.62"/>
    <s v="51.62"/>
    <s v="-17.4"/>
    <x v="28"/>
    <x v="4"/>
  </r>
  <r>
    <n v="2023"/>
    <n v="6"/>
    <n v="50.62"/>
    <s v="42.62"/>
    <s v="18.8"/>
    <x v="29"/>
    <x v="5"/>
  </r>
  <r>
    <n v="2023"/>
    <n v="7"/>
    <n v="37.619999999999997"/>
    <s v="50.62"/>
    <s v="-25.7"/>
    <x v="30"/>
    <x v="6"/>
  </r>
  <r>
    <n v="2023"/>
    <n v="8"/>
    <n v="37.619999999999997"/>
    <s v="37.62"/>
    <s v="0.0"/>
    <x v="31"/>
    <x v="7"/>
  </r>
  <r>
    <n v="2023"/>
    <n v="9"/>
    <n v="37.619999999999997"/>
    <s v="37.62"/>
    <s v="0.0"/>
    <x v="32"/>
    <x v="8"/>
  </r>
  <r>
    <n v="2023"/>
    <n v="10"/>
    <n v="37.619999999999997"/>
    <s v="37.62"/>
    <s v="0.0"/>
    <x v="33"/>
    <x v="9"/>
  </r>
  <r>
    <n v="2023"/>
    <n v="11"/>
    <n v="23.76"/>
    <s v="37.62"/>
    <s v="-36.8"/>
    <x v="34"/>
    <x v="10"/>
  </r>
  <r>
    <n v="2023"/>
    <n v="12"/>
    <n v="37.619999999999997"/>
    <s v="23.76"/>
    <s v="58.3"/>
    <x v="35"/>
    <x v="11"/>
  </r>
  <r>
    <n v="2024"/>
    <n v="1"/>
    <n v="37.619999999999997"/>
    <s v="37.62"/>
    <s v="0.0"/>
    <x v="36"/>
    <x v="0"/>
  </r>
  <r>
    <n v="2024"/>
    <n v="2"/>
    <n v="37.619999999999997"/>
    <s v="37.62"/>
    <s v="0.0"/>
    <x v="37"/>
    <x v="1"/>
  </r>
  <r>
    <n v="2024"/>
    <n v="3"/>
    <n v="37.619999999999997"/>
    <s v="37.62"/>
    <s v="0.0"/>
    <x v="38"/>
    <x v="2"/>
  </r>
  <r>
    <n v="2024"/>
    <n v="4"/>
    <n v="37.619999999999997"/>
    <s v="37.62"/>
    <s v="0.0"/>
    <x v="39"/>
    <x v="3"/>
  </r>
  <r>
    <n v="2024"/>
    <n v="5"/>
    <n v="37.619999999999997"/>
    <s v="37.62"/>
    <s v="0.0"/>
    <x v="40"/>
    <x v="4"/>
  </r>
  <r>
    <n v="2024"/>
    <n v="6"/>
    <n v="37.619999999999997"/>
    <s v="37.62"/>
    <s v="0.0"/>
    <x v="41"/>
    <x v="5"/>
  </r>
  <r>
    <n v="2024"/>
    <n v="7"/>
    <n v="39.619999999999997"/>
    <s v="37.62"/>
    <s v="5.3"/>
    <x v="42"/>
    <x v="6"/>
  </r>
  <r>
    <n v="2024"/>
    <n v="8"/>
    <n v="47.62"/>
    <s v="39.62"/>
    <s v="20.2"/>
    <x v="43"/>
    <x v="7"/>
  </r>
  <r>
    <n v="2024"/>
    <n v="9"/>
    <n v="46.71"/>
    <s v="47.62"/>
    <s v="-1.9"/>
    <x v="44"/>
    <x v="8"/>
  </r>
  <r>
    <n v="2024"/>
    <n v="10"/>
    <n v="42.62"/>
    <s v="46.71"/>
    <s v="-8.8"/>
    <x v="45"/>
    <x v="9"/>
  </r>
  <r>
    <n v="2024"/>
    <n v="11"/>
    <n v="37.619999999999997"/>
    <s v="42.62"/>
    <s v="-11.7"/>
    <x v="46"/>
    <x v="10"/>
  </r>
  <r>
    <n v="2024"/>
    <n v="12"/>
    <n v="37.619999999999997"/>
    <s v="37.62"/>
    <s v="0.0"/>
    <x v="47"/>
    <x v="11"/>
  </r>
  <r>
    <n v="2025"/>
    <n v="1"/>
    <n v="37.619999999999997"/>
    <s v="37.62"/>
    <s v="0.0"/>
    <x v="48"/>
    <x v="0"/>
  </r>
  <r>
    <n v="2025"/>
    <n v="2"/>
    <n v="27.72"/>
    <s v="37.62"/>
    <s v="-26.3"/>
    <x v="49"/>
    <x v="1"/>
  </r>
  <r>
    <n v="2025"/>
    <n v="3"/>
    <n v="37.619999999999997"/>
    <s v="27.72"/>
    <s v="35.7"/>
    <x v="50"/>
    <x v="2"/>
  </r>
  <r>
    <n v="2025"/>
    <n v="4"/>
    <n v="33.659999999999997"/>
    <s v="37.62"/>
    <s v="-10.5"/>
    <x v="51"/>
    <x v="3"/>
  </r>
  <r>
    <n v="2025"/>
    <n v="5"/>
    <n v="37.619999999999997"/>
    <s v="33.66"/>
    <s v="11.8"/>
    <x v="52"/>
    <x v="4"/>
  </r>
  <r>
    <n v="2025"/>
    <n v="6"/>
    <n v="37.619999999999997"/>
    <s v="37.62"/>
    <s v="0.0"/>
    <x v="53"/>
    <x v="5"/>
  </r>
  <r>
    <n v="2025"/>
    <n v="7"/>
    <n v="37.619999999999997"/>
    <s v="37.62"/>
    <s v="0.0"/>
    <x v="54"/>
    <x v="6"/>
  </r>
  <r>
    <n v="2025"/>
    <n v="8"/>
    <n v="37.619999999999997"/>
    <s v="37.62"/>
    <s v="0.0"/>
    <x v="55"/>
    <x v="7"/>
  </r>
  <r>
    <n v="2025"/>
    <n v="9"/>
    <n v="37.619999999999997"/>
    <s v="37.62"/>
    <s v="0.0"/>
    <x v="56"/>
    <x v="8"/>
  </r>
  <r>
    <n v="2025"/>
    <n v="10"/>
    <n v="37.619999999999997"/>
    <s v="37.62"/>
    <s v="0.0"/>
    <x v="57"/>
    <x v="9"/>
  </r>
  <r>
    <n v="2025"/>
    <n v="11"/>
    <n v="49.62"/>
    <s v="37.62"/>
    <s v="31.9"/>
    <x v="58"/>
    <x v="10"/>
  </r>
  <r>
    <n v="2025"/>
    <n v="12"/>
    <n v="38.619999999999997"/>
    <s v="49.62"/>
    <s v="-22.2"/>
    <x v="5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B008-4696-4D09-B142-D896A9B88C6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:B41" firstHeaderRow="1" firstDataRow="1" firstDataCol="1"/>
  <pivotFields count="3">
    <pivotField axis="axisRow" showAll="0" measureFilter="1" sortType="descending">
      <items count="25">
        <item x="23"/>
        <item x="18"/>
        <item x="12"/>
        <item x="17"/>
        <item x="3"/>
        <item x="1"/>
        <item x="9"/>
        <item x="6"/>
        <item x="20"/>
        <item x="13"/>
        <item x="2"/>
        <item x="4"/>
        <item x="11"/>
        <item x="8"/>
        <item x="10"/>
        <item x="21"/>
        <item x="14"/>
        <item x="15"/>
        <item x="22"/>
        <item x="7"/>
        <item x="19"/>
        <item x="16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11">
    <i>
      <x v="23"/>
    </i>
    <i>
      <x v="5"/>
    </i>
    <i>
      <x v="10"/>
    </i>
    <i>
      <x v="4"/>
    </i>
    <i>
      <x v="11"/>
    </i>
    <i>
      <x v="22"/>
    </i>
    <i>
      <x v="7"/>
    </i>
    <i>
      <x v="19"/>
    </i>
    <i>
      <x v="13"/>
    </i>
    <i>
      <x v="6"/>
    </i>
    <i t="grand">
      <x/>
    </i>
  </rowItems>
  <colItems count="1">
    <i/>
  </colItems>
  <dataFields count="1">
    <dataField name="Sum of total_spen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AB237-AD4A-4074-A452-C1584895A572}" name="PivotTable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4:B125" firstHeaderRow="1" firstDataRow="1" firstDataCol="1"/>
  <pivotFields count="7">
    <pivotField showAll="0"/>
    <pivotField showAll="0"/>
    <pivotField dataField="1" showAll="0"/>
    <pivotField showAll="0"/>
    <pivotField showAll="0"/>
    <pivotField axis="axisRow" numFmtId="166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Growth%" fld="2" showDataAs="difference" baseField="5" baseItem="1048828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4494C-8E4E-4C35-94A4-DBF59014BC0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6:G37" firstHeaderRow="1" firstDataRow="1" firstDataCol="1"/>
  <pivotFields count="3">
    <pivotField axis="axisRow" showAll="0" measureFilter="1" sortType="descending">
      <items count="166">
        <item x="45"/>
        <item x="161"/>
        <item x="136"/>
        <item x="128"/>
        <item x="111"/>
        <item x="152"/>
        <item x="62"/>
        <item x="79"/>
        <item x="92"/>
        <item x="40"/>
        <item x="163"/>
        <item x="30"/>
        <item x="118"/>
        <item x="117"/>
        <item x="46"/>
        <item x="101"/>
        <item x="26"/>
        <item x="13"/>
        <item x="160"/>
        <item x="133"/>
        <item x="119"/>
        <item x="80"/>
        <item x="71"/>
        <item x="61"/>
        <item x="56"/>
        <item x="93"/>
        <item x="32"/>
        <item x="138"/>
        <item x="33"/>
        <item x="132"/>
        <item x="21"/>
        <item x="25"/>
        <item x="126"/>
        <item x="47"/>
        <item x="112"/>
        <item x="12"/>
        <item x="81"/>
        <item x="7"/>
        <item x="95"/>
        <item x="121"/>
        <item x="37"/>
        <item x="146"/>
        <item x="102"/>
        <item x="150"/>
        <item x="53"/>
        <item x="159"/>
        <item x="130"/>
        <item x="148"/>
        <item x="129"/>
        <item x="9"/>
        <item x="131"/>
        <item x="8"/>
        <item x="83"/>
        <item x="162"/>
        <item x="31"/>
        <item x="63"/>
        <item x="120"/>
        <item x="84"/>
        <item x="42"/>
        <item x="35"/>
        <item x="85"/>
        <item x="72"/>
        <item x="164"/>
        <item x="16"/>
        <item x="14"/>
        <item x="147"/>
        <item x="23"/>
        <item x="91"/>
        <item x="73"/>
        <item x="0"/>
        <item x="58"/>
        <item x="38"/>
        <item x="96"/>
        <item x="86"/>
        <item x="105"/>
        <item x="122"/>
        <item x="103"/>
        <item x="104"/>
        <item x="64"/>
        <item x="143"/>
        <item x="153"/>
        <item x="18"/>
        <item x="3"/>
        <item x="43"/>
        <item x="24"/>
        <item x="4"/>
        <item x="134"/>
        <item x="54"/>
        <item x="94"/>
        <item x="113"/>
        <item x="87"/>
        <item x="154"/>
        <item x="65"/>
        <item x="137"/>
        <item x="88"/>
        <item x="2"/>
        <item x="127"/>
        <item x="145"/>
        <item x="41"/>
        <item x="50"/>
        <item x="107"/>
        <item x="97"/>
        <item x="106"/>
        <item x="59"/>
        <item x="100"/>
        <item x="55"/>
        <item x="66"/>
        <item x="158"/>
        <item x="82"/>
        <item x="6"/>
        <item x="139"/>
        <item x="27"/>
        <item x="89"/>
        <item x="74"/>
        <item x="114"/>
        <item x="17"/>
        <item x="151"/>
        <item x="123"/>
        <item x="75"/>
        <item x="11"/>
        <item x="10"/>
        <item x="78"/>
        <item x="98"/>
        <item x="67"/>
        <item x="22"/>
        <item x="142"/>
        <item x="149"/>
        <item x="108"/>
        <item x="57"/>
        <item x="135"/>
        <item x="116"/>
        <item x="157"/>
        <item x="68"/>
        <item x="28"/>
        <item x="51"/>
        <item x="34"/>
        <item x="76"/>
        <item x="69"/>
        <item x="60"/>
        <item x="125"/>
        <item x="115"/>
        <item x="141"/>
        <item x="52"/>
        <item x="70"/>
        <item x="48"/>
        <item x="124"/>
        <item x="144"/>
        <item x="5"/>
        <item x="99"/>
        <item x="155"/>
        <item x="39"/>
        <item x="44"/>
        <item x="36"/>
        <item x="29"/>
        <item x="15"/>
        <item x="49"/>
        <item x="1"/>
        <item x="90"/>
        <item x="20"/>
        <item x="19"/>
        <item x="109"/>
        <item x="110"/>
        <item x="140"/>
        <item x="156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11">
    <i>
      <x v="69"/>
    </i>
    <i>
      <x v="156"/>
    </i>
    <i>
      <x v="95"/>
    </i>
    <i>
      <x v="82"/>
    </i>
    <i>
      <x v="85"/>
    </i>
    <i>
      <x v="147"/>
    </i>
    <i>
      <x v="109"/>
    </i>
    <i>
      <x v="37"/>
    </i>
    <i>
      <x v="51"/>
    </i>
    <i>
      <x v="49"/>
    </i>
    <i t="grand">
      <x/>
    </i>
  </rowItems>
  <colItems count="1">
    <i/>
  </colItems>
  <dataFields count="1">
    <dataField name="Sum of revenue" fld="1" baseField="0" baseItem="0"/>
  </dataFields>
  <formats count="1">
    <format dxfId="1">
      <pivotArea dataOnly="0" fieldPosition="0">
        <references count="1">
          <reference field="0" count="1">
            <x v="69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22E20-0267-4F63-ACB8-418A91018E0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6:C37" firstHeaderRow="1" firstDataRow="1" firstDataCol="1"/>
  <pivotFields count="3">
    <pivotField axis="axisRow" showAll="0" measureFilter="1" sortType="descending">
      <items count="25">
        <item x="17"/>
        <item x="3"/>
        <item x="6"/>
        <item x="16"/>
        <item x="9"/>
        <item x="14"/>
        <item x="7"/>
        <item x="22"/>
        <item x="21"/>
        <item x="20"/>
        <item x="15"/>
        <item x="5"/>
        <item x="1"/>
        <item x="2"/>
        <item x="12"/>
        <item x="8"/>
        <item x="11"/>
        <item x="0"/>
        <item x="23"/>
        <item x="10"/>
        <item x="19"/>
        <item x="13"/>
        <item x="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3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11">
    <i>
      <x v="17"/>
    </i>
    <i>
      <x v="12"/>
    </i>
    <i>
      <x v="13"/>
    </i>
    <i>
      <x v="1"/>
    </i>
    <i>
      <x v="22"/>
    </i>
    <i>
      <x v="11"/>
    </i>
    <i>
      <x v="2"/>
    </i>
    <i>
      <x v="6"/>
    </i>
    <i>
      <x v="4"/>
    </i>
    <i>
      <x v="15"/>
    </i>
    <i t="grand">
      <x/>
    </i>
  </rowItems>
  <colItems count="1">
    <i/>
  </colItems>
  <dataFields count="1">
    <dataField name="Sum of revenue" fld="1" baseField="0" baseItem="0"/>
  </dataFields>
  <formats count="2">
    <format dxfId="3">
      <pivotArea collapsedLevelsAreSubtotals="1" fieldPosition="0">
        <references count="1">
          <reference field="0" count="1">
            <x v="17"/>
          </reference>
        </references>
      </pivotArea>
    </format>
    <format dxfId="2">
      <pivotArea dataOnly="0" labelOnly="1" fieldPosition="0">
        <references count="1">
          <reference field="0" count="1">
            <x v="1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7343786-06E2-4AB2-AEC1-2B34A49C85FA}" autoFormatId="16" applyNumberFormats="0" applyBorderFormats="0" applyFontFormats="0" applyPatternFormats="0" applyAlignmentFormats="0" applyWidthHeightFormats="0">
  <queryTableRefresh nextId="5">
    <queryTableFields count="4">
      <queryTableField id="1" name="EmployeeId" tableColumnId="1"/>
      <queryTableField id="2" name="FirstName" tableColumnId="2"/>
      <queryTableField id="3" name="LastName" tableColumnId="3"/>
      <queryTableField id="4" name="Titl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060E8F-9857-44A3-BEFA-A130A627F949}" autoFormatId="16" applyNumberFormats="0" applyBorderFormats="0" applyFontFormats="0" applyPatternFormats="0" applyAlignmentFormats="0" applyWidthHeightFormats="0">
  <queryTableRefresh nextId="4">
    <queryTableFields count="3">
      <queryTableField id="1" name="artist" tableColumnId="1"/>
      <queryTableField id="2" name="revenue" tableColumnId="2"/>
      <queryTableField id="3" name="revenue_rank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9DB22A3-0533-4512-9DA1-70705B74314D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employee_name" tableColumnId="2"/>
      <queryTableField id="3" name="invoice_count" tableColumnId="3"/>
      <queryTableField id="4" name="customer_count" tableColumnId="4"/>
      <queryTableField id="5" name="total_spend" tableColumnId="5"/>
      <queryTableField id="6" name="avg_invoice_spend" tableColumnId="6"/>
      <queryTableField id="7" name="avg_customer_spen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8C07454-655F-4E31-999B-70D470191E81}" autoFormatId="16" applyNumberFormats="0" applyBorderFormats="0" applyFontFormats="0" applyPatternFormats="0" applyAlignmentFormats="0" applyWidthHeightFormats="0">
  <queryTableRefresh nextId="4">
    <queryTableFields count="3">
      <queryTableField id="1" name="genre" tableColumnId="1"/>
      <queryTableField id="2" name="revenue" tableColumnId="2"/>
      <queryTableField id="3" name="revenue_rank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568FFBB-1F5E-4107-927C-7B5567B6B58F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full_name" tableColumnId="2"/>
      <queryTableField id="3" name="SupportRepId" tableColumnId="3"/>
      <queryTableField id="4" name="total_spend" tableColumnId="4"/>
      <queryTableField id="5" name="spend_rank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8D29FC-B4C0-403A-991F-3716023FD76B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otal_spend" tableColumnId="2"/>
      <queryTableField id="3" name="spend_rank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A0A6FC7-FF72-4B7D-B9AD-897DA92F1C32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invoice_year" tableColumnId="1"/>
      <queryTableField id="2" name="invoice_month" tableColumnId="2"/>
      <queryTableField id="3" name="revenue" tableColumnId="3"/>
      <queryTableField id="4" name="prev_month_revenue" tableColumnId="4"/>
      <queryTableField id="5" name="MoM_growth_pct" tableColumnId="5"/>
      <queryTableField id="6" dataBound="0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213B286-BAAE-4970-B498-BADD67A36754}" autoFormatId="16" applyNumberFormats="0" applyBorderFormats="0" applyFontFormats="0" applyPatternFormats="0" applyAlignmentFormats="0" applyWidthHeightFormats="0">
  <queryTableRefresh nextId="5">
    <queryTableFields count="4">
      <queryTableField id="1" name="invoice_year" tableColumnId="1"/>
      <queryTableField id="2" name="revenue" tableColumnId="2"/>
      <queryTableField id="3" name="prev_year_revenue" tableColumnId="3"/>
      <queryTableField id="4" name="YoY_growth_pc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3E0C1F0-C34A-4610-A9A3-FA5AEE0D7275}" autoFormatId="16" applyNumberFormats="0" applyBorderFormats="0" applyFontFormats="0" applyPatternFormats="0" applyAlignmentFormats="0" applyWidthHeightFormats="0">
  <queryTableRefresh nextId="15">
    <queryTableFields count="14">
      <queryTableField id="1" name="CustomerId" tableColumnId="1"/>
      <queryTableField id="2" name="full_name" tableColumnId="2"/>
      <queryTableField id="3" name="SupportRepId" tableColumnId="3"/>
      <queryTableField id="4" name="total_spend" tableColumnId="4"/>
      <queryTableField id="5" name="SupportRep_first_name" tableColumnId="5"/>
      <queryTableField id="6" name="SupportRep_last_name" tableColumnId="6"/>
      <queryTableField id="7" name="SupportRep_full_name" tableColumnId="7"/>
      <queryTableField id="8" name="SupportRep_full_name (VLOOKUP)" tableColumnId="8"/>
      <queryTableField id="9" name="SupportRep_full_name (XLOOKUP)" tableColumnId="9"/>
      <queryTableField id="10" name="SupportRep_full_name (XLOOKUP)2" tableColumnId="10"/>
      <queryTableField id="11" name="employee-data.EmployeeId" tableColumnId="11"/>
      <queryTableField id="12" name="employee-data.FirstName" tableColumnId="12"/>
      <queryTableField id="13" name="employee-data.LastName" tableColumnId="13"/>
      <queryTableField id="14" name="employee-data.Title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89E6E9-F1A0-4E3A-BF61-EC2743117260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otal_spend" tableColumnId="2"/>
      <queryTableField id="3" name="spend_rank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1D48AE-E02C-4CDB-A3DC-6449893A76C2}" name="employee_data" displayName="employee_data" ref="A1:D9" tableType="queryTable" totalsRowShown="0">
  <autoFilter ref="A1:D9" xr:uid="{2C1D48AE-E02C-4CDB-A3DC-6449893A76C2}"/>
  <tableColumns count="4">
    <tableColumn id="1" xr3:uid="{32D6FD86-3CAA-4D8D-96D8-4C1EECE5F03A}" uniqueName="1" name="EmployeeId" queryTableFieldId="1"/>
    <tableColumn id="2" xr3:uid="{84CFB0D2-B4AF-49D9-8B16-E9A1967A0351}" uniqueName="2" name="FirstName" queryTableFieldId="2" dataDxfId="34"/>
    <tableColumn id="3" xr3:uid="{AE8FCA00-ADCF-4E52-8CE4-BD28BE25DDD2}" uniqueName="3" name="LastName" queryTableFieldId="3" dataDxfId="33"/>
    <tableColumn id="4" xr3:uid="{7A392EFB-329D-4D10-8EEB-31570A885067}" uniqueName="4" name="Title" queryTableFieldId="4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5CAB8-67A8-42C1-BE28-1D36D1AEF589}" name="artist_revenue" displayName="artist_revenue" ref="A1:C166" tableType="queryTable" totalsRowShown="0">
  <autoFilter ref="A1:C166" xr:uid="{CBD5CAB8-67A8-42C1-BE28-1D36D1AEF589}"/>
  <tableColumns count="3">
    <tableColumn id="1" xr3:uid="{7A8BFC82-84F1-49D8-8DAB-BCAB08FDB223}" uniqueName="1" name="artist" queryTableFieldId="1" dataDxfId="42"/>
    <tableColumn id="2" xr3:uid="{8CE660CE-6F64-402E-BABD-77E59777AF1F}" uniqueName="2" name="revenue" queryTableFieldId="2"/>
    <tableColumn id="3" xr3:uid="{4C45A464-FF07-484D-A233-62A10532D3E1}" uniqueName="3" name="revenue_rank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4E38C4-04EF-4270-9AA5-FC0F5DAD0D42}" name="employee_sales_performance__2" displayName="employee_sales_performance__2" ref="A1:G10" tableType="queryTable" totalsRowCount="1">
  <autoFilter ref="A1:G9" xr:uid="{194E38C4-04EF-4270-9AA5-FC0F5DAD0D42}"/>
  <tableColumns count="7">
    <tableColumn id="1" xr3:uid="{D17612BC-4E8B-4A41-8755-487C7E1B4A1B}" uniqueName="1" name="EmployeeId" queryTableFieldId="1"/>
    <tableColumn id="2" xr3:uid="{F9A22E9B-0EE8-4717-9891-9C7B9D63798E}" uniqueName="2" name="employee_name" queryTableFieldId="2" dataDxfId="12" totalsRowDxfId="8"/>
    <tableColumn id="3" xr3:uid="{28CCAA7E-A546-484C-8FD5-B57A1AA23DD7}" uniqueName="3" name="invoice_count" queryTableFieldId="3"/>
    <tableColumn id="4" xr3:uid="{B992DC4E-B72A-40E6-96EE-57C72E8A5604}" uniqueName="4" name="customer_count" queryTableFieldId="4"/>
    <tableColumn id="5" xr3:uid="{C5A99F78-F9F5-4E94-8AA8-9F8C1D206FDA}" uniqueName="5" name="total_spend" queryTableFieldId="5" dataDxfId="11" totalsRowDxfId="7"/>
    <tableColumn id="6" xr3:uid="{A6B50E0A-6459-4872-9A94-F42E57794265}" uniqueName="6" name="avg_invoice_spend" queryTableFieldId="6" dataDxfId="10" totalsRowDxfId="6"/>
    <tableColumn id="7" xr3:uid="{ECAA9FBD-1CE7-4134-8419-ABC5002884A6}" uniqueName="7" name="avg_customer_spend" queryTableFieldId="7" dataDxfId="9" totalsRow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58A6B-64A8-4828-8008-58A60F578B88}" name="genre_revenue" displayName="genre_revenue" ref="A1:C26" tableType="queryTable" totalsRowCount="1">
  <autoFilter ref="A1:C25" xr:uid="{0DF58A6B-64A8-4828-8008-58A60F578B88}"/>
  <tableColumns count="3">
    <tableColumn id="1" xr3:uid="{D709D568-FD31-43E2-8818-6FB78D0A5FB1}" uniqueName="1" name="genre" queryTableFieldId="1" dataDxfId="41" totalsRowDxfId="13"/>
    <tableColumn id="2" xr3:uid="{6313471F-E181-43A8-A378-6077BCC66ED2}" uniqueName="2" name="revenue" queryTableFieldId="2"/>
    <tableColumn id="3" xr3:uid="{7479BD33-8C15-4C56-ACF0-70C0C020B9E6}" uniqueName="3" name="revenue_rank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F8812-2EA2-4531-B611-8A6922455844}" name="customer_spend" displayName="customer_spend" ref="A1:E60" tableType="queryTable" totalsRowShown="0">
  <autoFilter ref="A1:E60" xr:uid="{07AF8812-2EA2-4531-B611-8A6922455844}"/>
  <tableColumns count="5">
    <tableColumn id="1" xr3:uid="{73513617-8BF5-4426-932F-67FAEE1A8D08}" uniqueName="1" name="CustomerId" queryTableFieldId="1"/>
    <tableColumn id="2" xr3:uid="{1473BE21-A8BA-439F-AC60-C0F63F381710}" uniqueName="2" name="full_name" queryTableFieldId="2" dataDxfId="40"/>
    <tableColumn id="3" xr3:uid="{EA7B521D-16A4-4C97-896D-36B6D529A97C}" uniqueName="3" name="SupportRepId" queryTableFieldId="3"/>
    <tableColumn id="4" xr3:uid="{D762A3D5-0ABE-4BA3-8EDA-FB7C705DD743}" uniqueName="4" name="total_spend" queryTableFieldId="4"/>
    <tableColumn id="5" xr3:uid="{14163A87-39A2-4EEA-A23E-B728CA7CE8DD}" uniqueName="5" name="spend_rank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93E35B-65E9-462B-861F-90B71FD9E8BB}" name="country_spend" displayName="country_spend" ref="A1:C25" tableType="queryTable" totalsRowShown="0">
  <autoFilter ref="A1:C25" xr:uid="{0993E35B-65E9-462B-861F-90B71FD9E8BB}"/>
  <tableColumns count="3">
    <tableColumn id="1" xr3:uid="{69DF59D2-F939-4E47-8C64-34142FC294A3}" uniqueName="1" name="Country" queryTableFieldId="1" dataDxfId="39"/>
    <tableColumn id="2" xr3:uid="{567E544A-C602-4087-93A6-17B20B354ACD}" uniqueName="2" name="total_spend" queryTableFieldId="2"/>
    <tableColumn id="3" xr3:uid="{7290EBB0-C449-4D36-A5FB-36652C63B32F}" uniqueName="3" name="spend_rank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492F59-55D7-4B41-B739-31A00DEC44B1}" name="monthly_growth" displayName="monthly_growth" ref="A1:G61" tableType="queryTable" totalsRowShown="0">
  <autoFilter ref="A1:G61" xr:uid="{A1492F59-55D7-4B41-B739-31A00DEC44B1}"/>
  <tableColumns count="7">
    <tableColumn id="1" xr3:uid="{DA8B62D3-AE8E-4CC7-83E6-03A199360641}" uniqueName="1" name="invoice_year" queryTableFieldId="1"/>
    <tableColumn id="2" xr3:uid="{09C33683-F4FF-4330-913C-FF0F2EFCAC00}" uniqueName="2" name="invoice_month" queryTableFieldId="2"/>
    <tableColumn id="3" xr3:uid="{BD3CB705-3D6A-4617-A727-0AF5FBE24F9F}" uniqueName="3" name="revenue" queryTableFieldId="3"/>
    <tableColumn id="4" xr3:uid="{01398DC5-1C6D-4EA8-A329-81134226DD2B}" uniqueName="4" name="prev_month_revenue" queryTableFieldId="4" dataDxfId="38"/>
    <tableColumn id="5" xr3:uid="{F692577F-70E7-4097-B688-33336D6C91B7}" uniqueName="5" name="MoM_growth_pct" queryTableFieldId="5" dataDxfId="37"/>
    <tableColumn id="6" xr3:uid="{5C1DB3D9-B838-4BBC-A6ED-658AF46A87AF}" uniqueName="6" name="invoice_month_c" queryTableFieldId="6" dataDxfId="15">
      <calculatedColumnFormula>DATE(monthly_growth[[#This Row],[invoice_year]], monthly_growth[[#This Row],[invoice_month]],1)</calculatedColumnFormula>
    </tableColumn>
    <tableColumn id="7" xr3:uid="{0288979C-3ECA-4959-8AF0-89D8DADFE349}" uniqueName="7" name="Column1" queryTableFieldId="7" dataDxfId="14">
      <calculatedColumnFormula>MONTH(monthly_growth[[#This Row],[invoice_month_c]])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5E9978-BD26-4F1A-ABE7-50A7A5A204D3}" name="yearly_growth" displayName="yearly_growth" ref="A1:D6" tableType="queryTable" totalsRowShown="0">
  <autoFilter ref="A1:D6" xr:uid="{D25E9978-BD26-4F1A-ABE7-50A7A5A204D3}"/>
  <tableColumns count="4">
    <tableColumn id="1" xr3:uid="{0D533610-C96A-463C-ACF3-720EEF6AED18}" uniqueName="1" name="invoice_year" queryTableFieldId="1"/>
    <tableColumn id="2" xr3:uid="{E83E93D3-287A-47C2-8F80-7F20AF559818}" uniqueName="2" name="revenue" queryTableFieldId="2"/>
    <tableColumn id="3" xr3:uid="{B0A28D35-CC51-45BA-A9EB-B653C1D297C4}" uniqueName="3" name="prev_year_revenue" queryTableFieldId="3" dataDxfId="36"/>
    <tableColumn id="4" xr3:uid="{5B254BF9-0395-4125-8DFD-5AA6E59B5458}" uniqueName="4" name="YoY_growth_pct" queryTableFieldId="4" dataDxfId="3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5CAD1E-5B06-4EA5-971A-90C33305E31F}" name="Table11" displayName="Table11" ref="A1:J60" totalsRowShown="0" headerRowDxfId="26" tableBorderDxfId="31">
  <autoFilter ref="A1:J60" xr:uid="{5D5CAD1E-5B06-4EA5-971A-90C33305E31F}"/>
  <tableColumns count="10">
    <tableColumn id="1" xr3:uid="{9E743ED0-C593-4483-BB80-83B9F2CE2674}" name="CustomerId" dataDxfId="30"/>
    <tableColumn id="2" xr3:uid="{1474767E-2DD7-40A1-96A9-0102567B385F}" name="full_name" dataDxfId="29"/>
    <tableColumn id="3" xr3:uid="{3AA2D8C0-6376-4F23-9461-71A736438AB9}" name="SupportRepId" dataDxfId="28"/>
    <tableColumn id="4" xr3:uid="{354A8D92-EB7B-4A4B-86D8-2316C8A5B065}" name="total_spend" dataDxfId="27"/>
    <tableColumn id="5" xr3:uid="{FFCA91DA-1DC3-4959-8540-266A246DB466}" name="SupportRep_first_name">
      <calculatedColumnFormula>VLOOKUP(C2, employee_data[], 2, FALSE)</calculatedColumnFormula>
    </tableColumn>
    <tableColumn id="6" xr3:uid="{0BDC3D70-F751-43C6-B6BC-1C92F02F9B29}" name="SupportRep_last_name">
      <calculatedColumnFormula>VLOOKUP(C2, employee_data[], 3, FALSE)</calculatedColumnFormula>
    </tableColumn>
    <tableColumn id="7" xr3:uid="{A42C5516-33DC-44DF-9A02-066C1C93D601}" name="SupportRep_full_name">
      <calculatedColumnFormula>_xlfn.CONCAT(E2," ", F2)</calculatedColumnFormula>
    </tableColumn>
    <tableColumn id="8" xr3:uid="{D8F39878-FE44-485B-A6AE-68D20578B17F}" name="SupportRep_full_name (VLOOKUP)">
      <calculatedColumnFormula>IFERROR(VLOOKUP(C2,employee_data[],2,FALSE)&amp;" "&amp;VLOOKUP(C2,employee_data[],3,FALSE), "No SupportRep Assigned")</calculatedColumnFormula>
    </tableColumn>
    <tableColumn id="9" xr3:uid="{9CCFC83C-C4CA-492D-8856-85E968CF0CB8}" name="SupportRep_full_name (XLOOKUP)">
      <calculatedColumnFormula>_xlfn.XLOOKUP(C2,employee_data[EmployeeId],employee_data[FirstName],"",0)&amp;" "&amp;_xlfn.XLOOKUP(C2,employee_data[EmployeeId],employee_data[LastName],"Unknown",0)</calculatedColumnFormula>
    </tableColumn>
    <tableColumn id="10" xr3:uid="{17A98687-31D3-4F3C-9655-80ED8692E6C7}" name="SupportRep_full_name (XLOOKUP)2">
      <calculatedColumnFormula>IF(_xlfn.XLOOKUP(C2,employee_data[EmployeeId], employee_data[EmployeeId], "", 0) = "", "No SupportRep Assigned", _xlfn.XLOOKUP(C2, employee_data[EmployeeId], employee_data[FirstName], "", 0)&amp;" "&amp;_xlfn.XLOOKUP(C2, employee_data[EmployeeId], employee_data[LastName], "", 0))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D80F08-CC05-4F6B-9D05-9FD2DA8FD2B3}" name="Table11_2" displayName="Table11_2" ref="A1:N60" tableType="queryTable" totalsRowShown="0">
  <autoFilter ref="A1:N60" xr:uid="{EDD80F08-CC05-4F6B-9D05-9FD2DA8FD2B3}"/>
  <tableColumns count="14">
    <tableColumn id="1" xr3:uid="{5081DF1B-253C-4026-A2DB-6C7651BF418E}" uniqueName="1" name="CustomerId" queryTableFieldId="1"/>
    <tableColumn id="2" xr3:uid="{A8E64D81-06BE-49BF-AB4F-1A0DBCDA35D1}" uniqueName="2" name="full_name" queryTableFieldId="2" dataDxfId="25"/>
    <tableColumn id="3" xr3:uid="{E808DC3D-B1A5-4507-9D7C-5AB682E7018E}" uniqueName="3" name="SupportRepId" queryTableFieldId="3"/>
    <tableColumn id="4" xr3:uid="{5A21422B-9FC9-4846-B668-8F5DB8EAA02F}" uniqueName="4" name="total_spend" queryTableFieldId="4"/>
    <tableColumn id="5" xr3:uid="{9989C076-A29A-4AEA-8920-7429C8D81386}" uniqueName="5" name="SupportRep_first_name" queryTableFieldId="5" dataDxfId="24"/>
    <tableColumn id="6" xr3:uid="{625EAFAE-94E0-4223-A137-146A4B29EEB4}" uniqueName="6" name="SupportRep_last_name" queryTableFieldId="6" dataDxfId="23"/>
    <tableColumn id="7" xr3:uid="{19A88B3F-1BF4-4660-BD8C-53AC71394F02}" uniqueName="7" name="SupportRep_full_name" queryTableFieldId="7" dataDxfId="22"/>
    <tableColumn id="8" xr3:uid="{47C50ED6-9216-45FE-B36D-39D5131B2BB0}" uniqueName="8" name="SupportRep_full_name (VLOOKUP)" queryTableFieldId="8" dataDxfId="21"/>
    <tableColumn id="9" xr3:uid="{D688BF4B-9F34-4178-AA3F-D10FE3F386C4}" uniqueName="9" name="SupportRep_full_name (XLOOKUP)" queryTableFieldId="9" dataDxfId="20"/>
    <tableColumn id="10" xr3:uid="{B40912F1-4DDB-4884-8084-7E085E831133}" uniqueName="10" name="SupportRep_full_name (XLOOKUP)2" queryTableFieldId="10" dataDxfId="19"/>
    <tableColumn id="11" xr3:uid="{8DFBBE52-F956-4A2F-A959-09BE2A2B5678}" uniqueName="11" name="employee-data.EmployeeId" queryTableFieldId="11"/>
    <tableColumn id="12" xr3:uid="{D765B77D-21B7-4BB4-83DD-222DF55DF4F8}" uniqueName="12" name="employee-data.FirstName" queryTableFieldId="12" dataDxfId="18"/>
    <tableColumn id="13" xr3:uid="{1C9482B3-9B03-4E93-BD49-39C98347E2D0}" uniqueName="13" name="employee-data.LastName" queryTableFieldId="13" dataDxfId="17"/>
    <tableColumn id="14" xr3:uid="{E63B7B8B-6892-4B02-A1AB-6E77AB7A3366}" uniqueName="14" name="employee-data.Title" queryTableFieldId="14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E84C75-CC95-4ECE-AED7-044F7E997BD3}" name="country_spend16" displayName="country_spend16" ref="A42:C66" tableType="queryTable" totalsRowShown="0">
  <autoFilter ref="A42:C66" xr:uid="{8CE84C75-CC95-4ECE-AED7-044F7E997BD3}"/>
  <tableColumns count="3">
    <tableColumn id="1" xr3:uid="{2758815C-1D98-4C42-BEDD-546715B86B6A}" uniqueName="1" name="Country" queryTableFieldId="1" dataDxfId="4"/>
    <tableColumn id="2" xr3:uid="{10B8F7B1-7F90-4C39-A2BD-418E2B4F9F2D}" uniqueName="2" name="total_spend" queryTableFieldId="2"/>
    <tableColumn id="3" xr3:uid="{A0F5FD03-DA8B-4E95-85C5-0E86E5EB7E0E}" uniqueName="3" name="spend_rank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E6E1-DC6B-41FC-84E3-B57678B1EF71}">
  <dimension ref="A1:D9"/>
  <sheetViews>
    <sheetView workbookViewId="0"/>
  </sheetViews>
  <sheetFormatPr defaultRowHeight="15" x14ac:dyDescent="0.25"/>
  <cols>
    <col min="1" max="1" width="13.85546875" bestFit="1" customWidth="1"/>
    <col min="2" max="2" width="12.42578125" bestFit="1" customWidth="1"/>
    <col min="3" max="3" width="12" bestFit="1" customWidth="1"/>
    <col min="4" max="4" width="19" bestFit="1" customWidth="1"/>
  </cols>
  <sheetData>
    <row r="1" spans="1:4" x14ac:dyDescent="0.25">
      <c r="A1" t="s">
        <v>282</v>
      </c>
      <c r="B1" t="s">
        <v>357</v>
      </c>
      <c r="C1" t="s">
        <v>358</v>
      </c>
      <c r="D1" t="s">
        <v>359</v>
      </c>
    </row>
    <row r="2" spans="1:4" x14ac:dyDescent="0.25">
      <c r="A2">
        <v>1</v>
      </c>
      <c r="B2" s="1" t="s">
        <v>360</v>
      </c>
      <c r="C2" s="1" t="s">
        <v>361</v>
      </c>
      <c r="D2" s="1" t="s">
        <v>362</v>
      </c>
    </row>
    <row r="3" spans="1:4" x14ac:dyDescent="0.25">
      <c r="A3">
        <v>2</v>
      </c>
      <c r="B3" s="1" t="s">
        <v>363</v>
      </c>
      <c r="C3" s="1" t="s">
        <v>364</v>
      </c>
      <c r="D3" s="1" t="s">
        <v>365</v>
      </c>
    </row>
    <row r="4" spans="1:4" x14ac:dyDescent="0.25">
      <c r="A4">
        <v>3</v>
      </c>
      <c r="B4" s="1" t="s">
        <v>366</v>
      </c>
      <c r="C4" s="1" t="s">
        <v>367</v>
      </c>
      <c r="D4" s="1" t="s">
        <v>368</v>
      </c>
    </row>
    <row r="5" spans="1:4" x14ac:dyDescent="0.25">
      <c r="A5">
        <v>4</v>
      </c>
      <c r="B5" s="1" t="s">
        <v>369</v>
      </c>
      <c r="C5" s="1" t="s">
        <v>370</v>
      </c>
      <c r="D5" s="1" t="s">
        <v>368</v>
      </c>
    </row>
    <row r="6" spans="1:4" x14ac:dyDescent="0.25">
      <c r="A6">
        <v>5</v>
      </c>
      <c r="B6" s="1" t="s">
        <v>371</v>
      </c>
      <c r="C6" s="1" t="s">
        <v>372</v>
      </c>
      <c r="D6" s="1" t="s">
        <v>368</v>
      </c>
    </row>
    <row r="7" spans="1:4" x14ac:dyDescent="0.25">
      <c r="A7">
        <v>6</v>
      </c>
      <c r="B7" s="1" t="s">
        <v>373</v>
      </c>
      <c r="C7" s="1" t="s">
        <v>374</v>
      </c>
      <c r="D7" s="1" t="s">
        <v>375</v>
      </c>
    </row>
    <row r="8" spans="1:4" x14ac:dyDescent="0.25">
      <c r="A8">
        <v>7</v>
      </c>
      <c r="B8" s="1" t="s">
        <v>376</v>
      </c>
      <c r="C8" s="1" t="s">
        <v>377</v>
      </c>
      <c r="D8" s="1" t="s">
        <v>378</v>
      </c>
    </row>
    <row r="9" spans="1:4" x14ac:dyDescent="0.25">
      <c r="A9">
        <v>8</v>
      </c>
      <c r="B9" s="1" t="s">
        <v>379</v>
      </c>
      <c r="C9" s="1" t="s">
        <v>380</v>
      </c>
      <c r="D9" s="1" t="s">
        <v>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EEE3-FC12-4F70-819B-2A50488CD8C3}">
  <dimension ref="A1:C166"/>
  <sheetViews>
    <sheetView workbookViewId="0">
      <selection activeCell="A11" sqref="A11"/>
    </sheetView>
  </sheetViews>
  <sheetFormatPr defaultRowHeight="15" x14ac:dyDescent="0.25"/>
  <cols>
    <col min="1" max="1" width="78.7109375" bestFit="1" customWidth="1"/>
    <col min="2" max="2" width="10.7109375" bestFit="1" customWidth="1"/>
    <col min="3" max="3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138.6</v>
      </c>
      <c r="C2">
        <v>1</v>
      </c>
    </row>
    <row r="3" spans="1:3" x14ac:dyDescent="0.25">
      <c r="A3" s="1" t="s">
        <v>4</v>
      </c>
      <c r="B3">
        <v>105.93</v>
      </c>
      <c r="C3">
        <v>2</v>
      </c>
    </row>
    <row r="4" spans="1:3" x14ac:dyDescent="0.25">
      <c r="A4" s="1" t="s">
        <v>5</v>
      </c>
      <c r="B4">
        <v>90.09</v>
      </c>
      <c r="C4">
        <v>3</v>
      </c>
    </row>
    <row r="5" spans="1:3" x14ac:dyDescent="0.25">
      <c r="A5" s="1" t="s">
        <v>6</v>
      </c>
      <c r="B5">
        <v>86.13</v>
      </c>
      <c r="C5">
        <v>4</v>
      </c>
    </row>
    <row r="6" spans="1:3" x14ac:dyDescent="0.25">
      <c r="A6" s="1" t="s">
        <v>7</v>
      </c>
      <c r="B6">
        <v>81.59</v>
      </c>
      <c r="C6">
        <v>5</v>
      </c>
    </row>
    <row r="7" spans="1:3" x14ac:dyDescent="0.25">
      <c r="A7" s="1" t="s">
        <v>8</v>
      </c>
      <c r="B7">
        <v>49.75</v>
      </c>
      <c r="C7">
        <v>6</v>
      </c>
    </row>
    <row r="8" spans="1:3" x14ac:dyDescent="0.25">
      <c r="A8" s="1" t="s">
        <v>9</v>
      </c>
      <c r="B8">
        <v>44.55</v>
      </c>
      <c r="C8">
        <v>7</v>
      </c>
    </row>
    <row r="9" spans="1:3" x14ac:dyDescent="0.25">
      <c r="A9" s="1" t="s">
        <v>10</v>
      </c>
      <c r="B9">
        <v>43.56</v>
      </c>
      <c r="C9">
        <v>8</v>
      </c>
    </row>
    <row r="10" spans="1:3" x14ac:dyDescent="0.25">
      <c r="A10" s="1" t="s">
        <v>11</v>
      </c>
      <c r="B10">
        <v>41.58</v>
      </c>
      <c r="C10">
        <v>9</v>
      </c>
    </row>
    <row r="11" spans="1:3" x14ac:dyDescent="0.25">
      <c r="A11" s="1" t="s">
        <v>12</v>
      </c>
      <c r="B11">
        <v>39.6</v>
      </c>
      <c r="C11">
        <v>10</v>
      </c>
    </row>
    <row r="12" spans="1:3" x14ac:dyDescent="0.25">
      <c r="A12" s="1" t="s">
        <v>13</v>
      </c>
      <c r="B12">
        <v>38.61</v>
      </c>
      <c r="C12">
        <v>11</v>
      </c>
    </row>
    <row r="13" spans="1:3" x14ac:dyDescent="0.25">
      <c r="A13" s="1" t="s">
        <v>14</v>
      </c>
      <c r="B13">
        <v>36.630000000000003</v>
      </c>
      <c r="C13">
        <v>12</v>
      </c>
    </row>
    <row r="14" spans="1:3" x14ac:dyDescent="0.25">
      <c r="A14" s="1" t="s">
        <v>15</v>
      </c>
      <c r="B14">
        <v>36.630000000000003</v>
      </c>
      <c r="C14">
        <v>12</v>
      </c>
    </row>
    <row r="15" spans="1:3" x14ac:dyDescent="0.25">
      <c r="A15" s="1" t="s">
        <v>16</v>
      </c>
      <c r="B15">
        <v>35.82</v>
      </c>
      <c r="C15">
        <v>13</v>
      </c>
    </row>
    <row r="16" spans="1:3" x14ac:dyDescent="0.25">
      <c r="A16" s="1" t="s">
        <v>17</v>
      </c>
      <c r="B16">
        <v>35.64</v>
      </c>
      <c r="C16">
        <v>14</v>
      </c>
    </row>
    <row r="17" spans="1:3" x14ac:dyDescent="0.25">
      <c r="A17" s="1" t="s">
        <v>18</v>
      </c>
      <c r="B17">
        <v>33.659999999999997</v>
      </c>
      <c r="C17">
        <v>15</v>
      </c>
    </row>
    <row r="18" spans="1:3" x14ac:dyDescent="0.25">
      <c r="A18" s="1" t="s">
        <v>19</v>
      </c>
      <c r="B18">
        <v>32.67</v>
      </c>
      <c r="C18">
        <v>16</v>
      </c>
    </row>
    <row r="19" spans="1:3" x14ac:dyDescent="0.25">
      <c r="A19" s="1" t="s">
        <v>20</v>
      </c>
      <c r="B19">
        <v>31.68</v>
      </c>
      <c r="C19">
        <v>17</v>
      </c>
    </row>
    <row r="20" spans="1:3" x14ac:dyDescent="0.25">
      <c r="A20" s="1" t="s">
        <v>21</v>
      </c>
      <c r="B20">
        <v>30.69</v>
      </c>
      <c r="C20">
        <v>18</v>
      </c>
    </row>
    <row r="21" spans="1:3" x14ac:dyDescent="0.25">
      <c r="A21" s="1" t="s">
        <v>22</v>
      </c>
      <c r="B21">
        <v>28.71</v>
      </c>
      <c r="C21">
        <v>19</v>
      </c>
    </row>
    <row r="22" spans="1:3" x14ac:dyDescent="0.25">
      <c r="A22" s="1" t="s">
        <v>23</v>
      </c>
      <c r="B22">
        <v>28.71</v>
      </c>
      <c r="C22">
        <v>19</v>
      </c>
    </row>
    <row r="23" spans="1:3" x14ac:dyDescent="0.25">
      <c r="A23" s="1" t="s">
        <v>24</v>
      </c>
      <c r="B23">
        <v>26.73</v>
      </c>
      <c r="C23">
        <v>20</v>
      </c>
    </row>
    <row r="24" spans="1:3" x14ac:dyDescent="0.25">
      <c r="A24" s="1" t="s">
        <v>25</v>
      </c>
      <c r="B24">
        <v>26.73</v>
      </c>
      <c r="C24">
        <v>20</v>
      </c>
    </row>
    <row r="25" spans="1:3" x14ac:dyDescent="0.25">
      <c r="A25" s="1" t="s">
        <v>26</v>
      </c>
      <c r="B25">
        <v>25.87</v>
      </c>
      <c r="C25">
        <v>21</v>
      </c>
    </row>
    <row r="26" spans="1:3" x14ac:dyDescent="0.25">
      <c r="A26" s="1" t="s">
        <v>27</v>
      </c>
      <c r="B26">
        <v>25.74</v>
      </c>
      <c r="C26">
        <v>22</v>
      </c>
    </row>
    <row r="27" spans="1:3" x14ac:dyDescent="0.25">
      <c r="A27" s="1" t="s">
        <v>28</v>
      </c>
      <c r="B27">
        <v>24.75</v>
      </c>
      <c r="C27">
        <v>23</v>
      </c>
    </row>
    <row r="28" spans="1:3" x14ac:dyDescent="0.25">
      <c r="A28" s="1" t="s">
        <v>29</v>
      </c>
      <c r="B28">
        <v>23.88</v>
      </c>
      <c r="C28">
        <v>24</v>
      </c>
    </row>
    <row r="29" spans="1:3" x14ac:dyDescent="0.25">
      <c r="A29" s="1" t="s">
        <v>30</v>
      </c>
      <c r="B29">
        <v>23.76</v>
      </c>
      <c r="C29">
        <v>25</v>
      </c>
    </row>
    <row r="30" spans="1:3" x14ac:dyDescent="0.25">
      <c r="A30" s="1" t="s">
        <v>31</v>
      </c>
      <c r="B30">
        <v>23.76</v>
      </c>
      <c r="C30">
        <v>25</v>
      </c>
    </row>
    <row r="31" spans="1:3" x14ac:dyDescent="0.25">
      <c r="A31" s="1" t="s">
        <v>32</v>
      </c>
      <c r="B31">
        <v>23.76</v>
      </c>
      <c r="C31">
        <v>25</v>
      </c>
    </row>
    <row r="32" spans="1:3" x14ac:dyDescent="0.25">
      <c r="A32" s="1" t="s">
        <v>33</v>
      </c>
      <c r="B32">
        <v>21.78</v>
      </c>
      <c r="C32">
        <v>26</v>
      </c>
    </row>
    <row r="33" spans="1:3" x14ac:dyDescent="0.25">
      <c r="A33" s="1" t="s">
        <v>34</v>
      </c>
      <c r="B33">
        <v>21.78</v>
      </c>
      <c r="C33">
        <v>26</v>
      </c>
    </row>
    <row r="34" spans="1:3" x14ac:dyDescent="0.25">
      <c r="A34" s="1" t="s">
        <v>35</v>
      </c>
      <c r="B34">
        <v>20.79</v>
      </c>
      <c r="C34">
        <v>27</v>
      </c>
    </row>
    <row r="35" spans="1:3" x14ac:dyDescent="0.25">
      <c r="A35" s="1" t="s">
        <v>36</v>
      </c>
      <c r="B35">
        <v>20.79</v>
      </c>
      <c r="C35">
        <v>27</v>
      </c>
    </row>
    <row r="36" spans="1:3" x14ac:dyDescent="0.25">
      <c r="A36" s="1" t="s">
        <v>37</v>
      </c>
      <c r="B36">
        <v>19.8</v>
      </c>
      <c r="C36">
        <v>28</v>
      </c>
    </row>
    <row r="37" spans="1:3" x14ac:dyDescent="0.25">
      <c r="A37" s="1" t="s">
        <v>38</v>
      </c>
      <c r="B37">
        <v>19.8</v>
      </c>
      <c r="C37">
        <v>28</v>
      </c>
    </row>
    <row r="38" spans="1:3" x14ac:dyDescent="0.25">
      <c r="A38" s="1" t="s">
        <v>39</v>
      </c>
      <c r="B38">
        <v>18.809999999999999</v>
      </c>
      <c r="C38">
        <v>29</v>
      </c>
    </row>
    <row r="39" spans="1:3" x14ac:dyDescent="0.25">
      <c r="A39" s="1" t="s">
        <v>40</v>
      </c>
      <c r="B39">
        <v>17.82</v>
      </c>
      <c r="C39">
        <v>30</v>
      </c>
    </row>
    <row r="40" spans="1:3" x14ac:dyDescent="0.25">
      <c r="A40" s="1" t="s">
        <v>41</v>
      </c>
      <c r="B40">
        <v>17.82</v>
      </c>
      <c r="C40">
        <v>30</v>
      </c>
    </row>
    <row r="41" spans="1:3" x14ac:dyDescent="0.25">
      <c r="A41" s="1" t="s">
        <v>42</v>
      </c>
      <c r="B41">
        <v>17.82</v>
      </c>
      <c r="C41">
        <v>30</v>
      </c>
    </row>
    <row r="42" spans="1:3" x14ac:dyDescent="0.25">
      <c r="A42" s="1" t="s">
        <v>43</v>
      </c>
      <c r="B42">
        <v>17.82</v>
      </c>
      <c r="C42">
        <v>30</v>
      </c>
    </row>
    <row r="43" spans="1:3" x14ac:dyDescent="0.25">
      <c r="A43" s="1" t="s">
        <v>44</v>
      </c>
      <c r="B43">
        <v>16.829999999999998</v>
      </c>
      <c r="C43">
        <v>31</v>
      </c>
    </row>
    <row r="44" spans="1:3" x14ac:dyDescent="0.25">
      <c r="A44" s="1" t="s">
        <v>45</v>
      </c>
      <c r="B44">
        <v>16.829999999999998</v>
      </c>
      <c r="C44">
        <v>31</v>
      </c>
    </row>
    <row r="45" spans="1:3" x14ac:dyDescent="0.25">
      <c r="A45" s="1" t="s">
        <v>46</v>
      </c>
      <c r="B45">
        <v>16.829999999999998</v>
      </c>
      <c r="C45">
        <v>31</v>
      </c>
    </row>
    <row r="46" spans="1:3" x14ac:dyDescent="0.25">
      <c r="A46" s="1" t="s">
        <v>47</v>
      </c>
      <c r="B46">
        <v>16.829999999999998</v>
      </c>
      <c r="C46">
        <v>31</v>
      </c>
    </row>
    <row r="47" spans="1:3" x14ac:dyDescent="0.25">
      <c r="A47" s="1" t="s">
        <v>48</v>
      </c>
      <c r="B47">
        <v>15.84</v>
      </c>
      <c r="C47">
        <v>32</v>
      </c>
    </row>
    <row r="48" spans="1:3" x14ac:dyDescent="0.25">
      <c r="A48" s="1" t="s">
        <v>49</v>
      </c>
      <c r="B48">
        <v>15.84</v>
      </c>
      <c r="C48">
        <v>32</v>
      </c>
    </row>
    <row r="49" spans="1:3" x14ac:dyDescent="0.25">
      <c r="A49" s="1" t="s">
        <v>50</v>
      </c>
      <c r="B49">
        <v>15.84</v>
      </c>
      <c r="C49">
        <v>32</v>
      </c>
    </row>
    <row r="50" spans="1:3" x14ac:dyDescent="0.25">
      <c r="A50" s="1" t="s">
        <v>51</v>
      </c>
      <c r="B50">
        <v>15.84</v>
      </c>
      <c r="C50">
        <v>32</v>
      </c>
    </row>
    <row r="51" spans="1:3" x14ac:dyDescent="0.25">
      <c r="A51" s="1" t="s">
        <v>52</v>
      </c>
      <c r="B51">
        <v>14.85</v>
      </c>
      <c r="C51">
        <v>33</v>
      </c>
    </row>
    <row r="52" spans="1:3" x14ac:dyDescent="0.25">
      <c r="A52" s="1" t="s">
        <v>53</v>
      </c>
      <c r="B52">
        <v>14.85</v>
      </c>
      <c r="C52">
        <v>33</v>
      </c>
    </row>
    <row r="53" spans="1:3" x14ac:dyDescent="0.25">
      <c r="A53" s="1" t="s">
        <v>54</v>
      </c>
      <c r="B53">
        <v>14.85</v>
      </c>
      <c r="C53">
        <v>33</v>
      </c>
    </row>
    <row r="54" spans="1:3" x14ac:dyDescent="0.25">
      <c r="A54" s="1" t="s">
        <v>55</v>
      </c>
      <c r="B54">
        <v>13.86</v>
      </c>
      <c r="C54">
        <v>34</v>
      </c>
    </row>
    <row r="55" spans="1:3" x14ac:dyDescent="0.25">
      <c r="A55" s="1" t="s">
        <v>56</v>
      </c>
      <c r="B55">
        <v>12.87</v>
      </c>
      <c r="C55">
        <v>35</v>
      </c>
    </row>
    <row r="56" spans="1:3" x14ac:dyDescent="0.25">
      <c r="A56" s="1" t="s">
        <v>57</v>
      </c>
      <c r="B56">
        <v>12.87</v>
      </c>
      <c r="C56">
        <v>35</v>
      </c>
    </row>
    <row r="57" spans="1:3" x14ac:dyDescent="0.25">
      <c r="A57" s="1" t="s">
        <v>58</v>
      </c>
      <c r="B57">
        <v>12.87</v>
      </c>
      <c r="C57">
        <v>35</v>
      </c>
    </row>
    <row r="58" spans="1:3" x14ac:dyDescent="0.25">
      <c r="A58" s="1" t="s">
        <v>59</v>
      </c>
      <c r="B58">
        <v>11.88</v>
      </c>
      <c r="C58">
        <v>36</v>
      </c>
    </row>
    <row r="59" spans="1:3" x14ac:dyDescent="0.25">
      <c r="A59" s="1" t="s">
        <v>60</v>
      </c>
      <c r="B59">
        <v>11.88</v>
      </c>
      <c r="C59">
        <v>36</v>
      </c>
    </row>
    <row r="60" spans="1:3" x14ac:dyDescent="0.25">
      <c r="A60" s="1" t="s">
        <v>61</v>
      </c>
      <c r="B60">
        <v>11.88</v>
      </c>
      <c r="C60">
        <v>36</v>
      </c>
    </row>
    <row r="61" spans="1:3" x14ac:dyDescent="0.25">
      <c r="A61" s="1" t="s">
        <v>62</v>
      </c>
      <c r="B61">
        <v>11.88</v>
      </c>
      <c r="C61">
        <v>36</v>
      </c>
    </row>
    <row r="62" spans="1:3" x14ac:dyDescent="0.25">
      <c r="A62" s="1" t="s">
        <v>63</v>
      </c>
      <c r="B62">
        <v>11.88</v>
      </c>
      <c r="C62">
        <v>36</v>
      </c>
    </row>
    <row r="63" spans="1:3" x14ac:dyDescent="0.25">
      <c r="A63" s="1" t="s">
        <v>64</v>
      </c>
      <c r="B63">
        <v>10.89</v>
      </c>
      <c r="C63">
        <v>37</v>
      </c>
    </row>
    <row r="64" spans="1:3" x14ac:dyDescent="0.25">
      <c r="A64" s="1" t="s">
        <v>65</v>
      </c>
      <c r="B64">
        <v>9.9</v>
      </c>
      <c r="C64">
        <v>38</v>
      </c>
    </row>
    <row r="65" spans="1:3" x14ac:dyDescent="0.25">
      <c r="A65" s="1" t="s">
        <v>66</v>
      </c>
      <c r="B65">
        <v>9.9</v>
      </c>
      <c r="C65">
        <v>38</v>
      </c>
    </row>
    <row r="66" spans="1:3" x14ac:dyDescent="0.25">
      <c r="A66" s="1" t="s">
        <v>67</v>
      </c>
      <c r="B66">
        <v>9.9</v>
      </c>
      <c r="C66">
        <v>38</v>
      </c>
    </row>
    <row r="67" spans="1:3" x14ac:dyDescent="0.25">
      <c r="A67" s="1" t="s">
        <v>68</v>
      </c>
      <c r="B67">
        <v>9.9</v>
      </c>
      <c r="C67">
        <v>38</v>
      </c>
    </row>
    <row r="68" spans="1:3" x14ac:dyDescent="0.25">
      <c r="A68" s="1" t="s">
        <v>69</v>
      </c>
      <c r="B68">
        <v>9.9</v>
      </c>
      <c r="C68">
        <v>38</v>
      </c>
    </row>
    <row r="69" spans="1:3" x14ac:dyDescent="0.25">
      <c r="A69" s="1" t="s">
        <v>70</v>
      </c>
      <c r="B69">
        <v>9.9</v>
      </c>
      <c r="C69">
        <v>38</v>
      </c>
    </row>
    <row r="70" spans="1:3" x14ac:dyDescent="0.25">
      <c r="A70" s="1" t="s">
        <v>71</v>
      </c>
      <c r="B70">
        <v>9.9</v>
      </c>
      <c r="C70">
        <v>38</v>
      </c>
    </row>
    <row r="71" spans="1:3" x14ac:dyDescent="0.25">
      <c r="A71" s="1" t="s">
        <v>72</v>
      </c>
      <c r="B71">
        <v>9.9</v>
      </c>
      <c r="C71">
        <v>38</v>
      </c>
    </row>
    <row r="72" spans="1:3" x14ac:dyDescent="0.25">
      <c r="A72" s="1" t="s">
        <v>73</v>
      </c>
      <c r="B72">
        <v>9.9</v>
      </c>
      <c r="C72">
        <v>38</v>
      </c>
    </row>
    <row r="73" spans="1:3" x14ac:dyDescent="0.25">
      <c r="A73" s="1" t="s">
        <v>74</v>
      </c>
      <c r="B73">
        <v>8.91</v>
      </c>
      <c r="C73">
        <v>39</v>
      </c>
    </row>
    <row r="74" spans="1:3" x14ac:dyDescent="0.25">
      <c r="A74" s="1" t="s">
        <v>75</v>
      </c>
      <c r="B74">
        <v>8.91</v>
      </c>
      <c r="C74">
        <v>39</v>
      </c>
    </row>
    <row r="75" spans="1:3" x14ac:dyDescent="0.25">
      <c r="A75" s="1" t="s">
        <v>76</v>
      </c>
      <c r="B75">
        <v>8.91</v>
      </c>
      <c r="C75">
        <v>39</v>
      </c>
    </row>
    <row r="76" spans="1:3" x14ac:dyDescent="0.25">
      <c r="A76" s="1" t="s">
        <v>77</v>
      </c>
      <c r="B76">
        <v>8.91</v>
      </c>
      <c r="C76">
        <v>39</v>
      </c>
    </row>
    <row r="77" spans="1:3" x14ac:dyDescent="0.25">
      <c r="A77" s="1" t="s">
        <v>78</v>
      </c>
      <c r="B77">
        <v>8.91</v>
      </c>
      <c r="C77">
        <v>39</v>
      </c>
    </row>
    <row r="78" spans="1:3" x14ac:dyDescent="0.25">
      <c r="A78" s="1" t="s">
        <v>79</v>
      </c>
      <c r="B78">
        <v>8.91</v>
      </c>
      <c r="C78">
        <v>39</v>
      </c>
    </row>
    <row r="79" spans="1:3" x14ac:dyDescent="0.25">
      <c r="A79" s="1" t="s">
        <v>80</v>
      </c>
      <c r="B79">
        <v>8.91</v>
      </c>
      <c r="C79">
        <v>39</v>
      </c>
    </row>
    <row r="80" spans="1:3" x14ac:dyDescent="0.25">
      <c r="A80" s="1" t="s">
        <v>81</v>
      </c>
      <c r="B80">
        <v>8.91</v>
      </c>
      <c r="C80">
        <v>39</v>
      </c>
    </row>
    <row r="81" spans="1:3" x14ac:dyDescent="0.25">
      <c r="A81" s="1" t="s">
        <v>82</v>
      </c>
      <c r="B81">
        <v>7.92</v>
      </c>
      <c r="C81">
        <v>40</v>
      </c>
    </row>
    <row r="82" spans="1:3" x14ac:dyDescent="0.25">
      <c r="A82" s="1" t="s">
        <v>83</v>
      </c>
      <c r="B82">
        <v>7.92</v>
      </c>
      <c r="C82">
        <v>40</v>
      </c>
    </row>
    <row r="83" spans="1:3" x14ac:dyDescent="0.25">
      <c r="A83" s="1" t="s">
        <v>84</v>
      </c>
      <c r="B83">
        <v>7.92</v>
      </c>
      <c r="C83">
        <v>40</v>
      </c>
    </row>
    <row r="84" spans="1:3" x14ac:dyDescent="0.25">
      <c r="A84" s="1" t="s">
        <v>85</v>
      </c>
      <c r="B84">
        <v>7.92</v>
      </c>
      <c r="C84">
        <v>40</v>
      </c>
    </row>
    <row r="85" spans="1:3" x14ac:dyDescent="0.25">
      <c r="A85" s="1" t="s">
        <v>86</v>
      </c>
      <c r="B85">
        <v>7.92</v>
      </c>
      <c r="C85">
        <v>40</v>
      </c>
    </row>
    <row r="86" spans="1:3" x14ac:dyDescent="0.25">
      <c r="A86" s="1" t="s">
        <v>87</v>
      </c>
      <c r="B86">
        <v>7.92</v>
      </c>
      <c r="C86">
        <v>40</v>
      </c>
    </row>
    <row r="87" spans="1:3" x14ac:dyDescent="0.25">
      <c r="A87" s="1" t="s">
        <v>88</v>
      </c>
      <c r="B87">
        <v>7.92</v>
      </c>
      <c r="C87">
        <v>40</v>
      </c>
    </row>
    <row r="88" spans="1:3" x14ac:dyDescent="0.25">
      <c r="A88" s="1" t="s">
        <v>89</v>
      </c>
      <c r="B88">
        <v>7.92</v>
      </c>
      <c r="C88">
        <v>40</v>
      </c>
    </row>
    <row r="89" spans="1:3" x14ac:dyDescent="0.25">
      <c r="A89" s="1" t="s">
        <v>90</v>
      </c>
      <c r="B89">
        <v>7.92</v>
      </c>
      <c r="C89">
        <v>40</v>
      </c>
    </row>
    <row r="90" spans="1:3" x14ac:dyDescent="0.25">
      <c r="A90" s="1" t="s">
        <v>91</v>
      </c>
      <c r="B90">
        <v>7.92</v>
      </c>
      <c r="C90">
        <v>40</v>
      </c>
    </row>
    <row r="91" spans="1:3" x14ac:dyDescent="0.25">
      <c r="A91" s="1" t="s">
        <v>92</v>
      </c>
      <c r="B91">
        <v>7.92</v>
      </c>
      <c r="C91">
        <v>40</v>
      </c>
    </row>
    <row r="92" spans="1:3" x14ac:dyDescent="0.25">
      <c r="A92" s="1" t="s">
        <v>93</v>
      </c>
      <c r="B92">
        <v>7.92</v>
      </c>
      <c r="C92">
        <v>40</v>
      </c>
    </row>
    <row r="93" spans="1:3" x14ac:dyDescent="0.25">
      <c r="A93" s="1" t="s">
        <v>94</v>
      </c>
      <c r="B93">
        <v>7.92</v>
      </c>
      <c r="C93">
        <v>40</v>
      </c>
    </row>
    <row r="94" spans="1:3" x14ac:dyDescent="0.25">
      <c r="A94" s="1" t="s">
        <v>95</v>
      </c>
      <c r="B94">
        <v>6.93</v>
      </c>
      <c r="C94">
        <v>41</v>
      </c>
    </row>
    <row r="95" spans="1:3" x14ac:dyDescent="0.25">
      <c r="A95" s="1" t="s">
        <v>96</v>
      </c>
      <c r="B95">
        <v>6.93</v>
      </c>
      <c r="C95">
        <v>41</v>
      </c>
    </row>
    <row r="96" spans="1:3" x14ac:dyDescent="0.25">
      <c r="A96" s="1" t="s">
        <v>97</v>
      </c>
      <c r="B96">
        <v>6.93</v>
      </c>
      <c r="C96">
        <v>41</v>
      </c>
    </row>
    <row r="97" spans="1:3" x14ac:dyDescent="0.25">
      <c r="A97" s="1" t="s">
        <v>98</v>
      </c>
      <c r="B97">
        <v>6.93</v>
      </c>
      <c r="C97">
        <v>41</v>
      </c>
    </row>
    <row r="98" spans="1:3" x14ac:dyDescent="0.25">
      <c r="A98" s="1" t="s">
        <v>99</v>
      </c>
      <c r="B98">
        <v>6.93</v>
      </c>
      <c r="C98">
        <v>41</v>
      </c>
    </row>
    <row r="99" spans="1:3" x14ac:dyDescent="0.25">
      <c r="A99" s="1" t="s">
        <v>100</v>
      </c>
      <c r="B99">
        <v>6.93</v>
      </c>
      <c r="C99">
        <v>41</v>
      </c>
    </row>
    <row r="100" spans="1:3" x14ac:dyDescent="0.25">
      <c r="A100" s="1" t="s">
        <v>101</v>
      </c>
      <c r="B100">
        <v>6.93</v>
      </c>
      <c r="C100">
        <v>41</v>
      </c>
    </row>
    <row r="101" spans="1:3" x14ac:dyDescent="0.25">
      <c r="A101" s="1" t="s">
        <v>102</v>
      </c>
      <c r="B101">
        <v>6.93</v>
      </c>
      <c r="C101">
        <v>41</v>
      </c>
    </row>
    <row r="102" spans="1:3" x14ac:dyDescent="0.25">
      <c r="A102" s="1" t="s">
        <v>103</v>
      </c>
      <c r="B102">
        <v>6.93</v>
      </c>
      <c r="C102">
        <v>41</v>
      </c>
    </row>
    <row r="103" spans="1:3" x14ac:dyDescent="0.25">
      <c r="A103" s="1" t="s">
        <v>104</v>
      </c>
      <c r="B103">
        <v>5.94</v>
      </c>
      <c r="C103">
        <v>42</v>
      </c>
    </row>
    <row r="104" spans="1:3" x14ac:dyDescent="0.25">
      <c r="A104" s="1" t="s">
        <v>105</v>
      </c>
      <c r="B104">
        <v>5.94</v>
      </c>
      <c r="C104">
        <v>42</v>
      </c>
    </row>
    <row r="105" spans="1:3" x14ac:dyDescent="0.25">
      <c r="A105" s="1" t="s">
        <v>106</v>
      </c>
      <c r="B105">
        <v>5.94</v>
      </c>
      <c r="C105">
        <v>42</v>
      </c>
    </row>
    <row r="106" spans="1:3" x14ac:dyDescent="0.25">
      <c r="A106" s="1" t="s">
        <v>107</v>
      </c>
      <c r="B106">
        <v>5.94</v>
      </c>
      <c r="C106">
        <v>42</v>
      </c>
    </row>
    <row r="107" spans="1:3" x14ac:dyDescent="0.25">
      <c r="A107" s="1" t="s">
        <v>108</v>
      </c>
      <c r="B107">
        <v>5.94</v>
      </c>
      <c r="C107">
        <v>42</v>
      </c>
    </row>
    <row r="108" spans="1:3" x14ac:dyDescent="0.25">
      <c r="A108" s="1" t="s">
        <v>109</v>
      </c>
      <c r="B108">
        <v>5.94</v>
      </c>
      <c r="C108">
        <v>42</v>
      </c>
    </row>
    <row r="109" spans="1:3" x14ac:dyDescent="0.25">
      <c r="A109" s="1" t="s">
        <v>110</v>
      </c>
      <c r="B109">
        <v>5.94</v>
      </c>
      <c r="C109">
        <v>42</v>
      </c>
    </row>
    <row r="110" spans="1:3" x14ac:dyDescent="0.25">
      <c r="A110" s="1" t="s">
        <v>111</v>
      </c>
      <c r="B110">
        <v>5.94</v>
      </c>
      <c r="C110">
        <v>42</v>
      </c>
    </row>
    <row r="111" spans="1:3" x14ac:dyDescent="0.25">
      <c r="A111" s="1" t="s">
        <v>112</v>
      </c>
      <c r="B111">
        <v>5.94</v>
      </c>
      <c r="C111">
        <v>42</v>
      </c>
    </row>
    <row r="112" spans="1:3" x14ac:dyDescent="0.25">
      <c r="A112" s="1" t="s">
        <v>113</v>
      </c>
      <c r="B112">
        <v>5.94</v>
      </c>
      <c r="C112">
        <v>42</v>
      </c>
    </row>
    <row r="113" spans="1:3" x14ac:dyDescent="0.25">
      <c r="A113" s="1" t="s">
        <v>114</v>
      </c>
      <c r="B113">
        <v>4.95</v>
      </c>
      <c r="C113">
        <v>43</v>
      </c>
    </row>
    <row r="114" spans="1:3" x14ac:dyDescent="0.25">
      <c r="A114" s="1" t="s">
        <v>115</v>
      </c>
      <c r="B114">
        <v>4.95</v>
      </c>
      <c r="C114">
        <v>43</v>
      </c>
    </row>
    <row r="115" spans="1:3" x14ac:dyDescent="0.25">
      <c r="A115" s="1" t="s">
        <v>116</v>
      </c>
      <c r="B115">
        <v>4.95</v>
      </c>
      <c r="C115">
        <v>43</v>
      </c>
    </row>
    <row r="116" spans="1:3" x14ac:dyDescent="0.25">
      <c r="A116" s="1" t="s">
        <v>117</v>
      </c>
      <c r="B116">
        <v>4.95</v>
      </c>
      <c r="C116">
        <v>43</v>
      </c>
    </row>
    <row r="117" spans="1:3" x14ac:dyDescent="0.25">
      <c r="A117" s="1" t="s">
        <v>118</v>
      </c>
      <c r="B117">
        <v>4.95</v>
      </c>
      <c r="C117">
        <v>43</v>
      </c>
    </row>
    <row r="118" spans="1:3" x14ac:dyDescent="0.25">
      <c r="A118" s="1" t="s">
        <v>119</v>
      </c>
      <c r="B118">
        <v>4.95</v>
      </c>
      <c r="C118">
        <v>43</v>
      </c>
    </row>
    <row r="119" spans="1:3" x14ac:dyDescent="0.25">
      <c r="A119" s="1" t="s">
        <v>120</v>
      </c>
      <c r="B119">
        <v>3.98</v>
      </c>
      <c r="C119">
        <v>44</v>
      </c>
    </row>
    <row r="120" spans="1:3" x14ac:dyDescent="0.25">
      <c r="A120" s="1" t="s">
        <v>121</v>
      </c>
      <c r="B120">
        <v>3.96</v>
      </c>
      <c r="C120">
        <v>45</v>
      </c>
    </row>
    <row r="121" spans="1:3" x14ac:dyDescent="0.25">
      <c r="A121" s="1" t="s">
        <v>122</v>
      </c>
      <c r="B121">
        <v>3.96</v>
      </c>
      <c r="C121">
        <v>45</v>
      </c>
    </row>
    <row r="122" spans="1:3" x14ac:dyDescent="0.25">
      <c r="A122" s="1" t="s">
        <v>123</v>
      </c>
      <c r="B122">
        <v>3.96</v>
      </c>
      <c r="C122">
        <v>45</v>
      </c>
    </row>
    <row r="123" spans="1:3" x14ac:dyDescent="0.25">
      <c r="A123" s="1" t="s">
        <v>124</v>
      </c>
      <c r="B123">
        <v>3.96</v>
      </c>
      <c r="C123">
        <v>45</v>
      </c>
    </row>
    <row r="124" spans="1:3" x14ac:dyDescent="0.25">
      <c r="A124" s="1" t="s">
        <v>125</v>
      </c>
      <c r="B124">
        <v>3.96</v>
      </c>
      <c r="C124">
        <v>45</v>
      </c>
    </row>
    <row r="125" spans="1:3" x14ac:dyDescent="0.25">
      <c r="A125" s="1" t="s">
        <v>126</v>
      </c>
      <c r="B125">
        <v>3.96</v>
      </c>
      <c r="C125">
        <v>45</v>
      </c>
    </row>
    <row r="126" spans="1:3" x14ac:dyDescent="0.25">
      <c r="A126" s="1" t="s">
        <v>127</v>
      </c>
      <c r="B126">
        <v>3.96</v>
      </c>
      <c r="C126">
        <v>45</v>
      </c>
    </row>
    <row r="127" spans="1:3" x14ac:dyDescent="0.25">
      <c r="A127" s="1" t="s">
        <v>128</v>
      </c>
      <c r="B127">
        <v>3.96</v>
      </c>
      <c r="C127">
        <v>45</v>
      </c>
    </row>
    <row r="128" spans="1:3" x14ac:dyDescent="0.25">
      <c r="A128" s="1" t="s">
        <v>129</v>
      </c>
      <c r="B128">
        <v>3.96</v>
      </c>
      <c r="C128">
        <v>45</v>
      </c>
    </row>
    <row r="129" spans="1:3" x14ac:dyDescent="0.25">
      <c r="A129" s="1" t="s">
        <v>130</v>
      </c>
      <c r="B129">
        <v>2.97</v>
      </c>
      <c r="C129">
        <v>46</v>
      </c>
    </row>
    <row r="130" spans="1:3" x14ac:dyDescent="0.25">
      <c r="A130" s="1" t="s">
        <v>131</v>
      </c>
      <c r="B130">
        <v>1.98</v>
      </c>
      <c r="C130">
        <v>47</v>
      </c>
    </row>
    <row r="131" spans="1:3" x14ac:dyDescent="0.25">
      <c r="A131" s="1" t="s">
        <v>132</v>
      </c>
      <c r="B131">
        <v>1.98</v>
      </c>
      <c r="C131">
        <v>47</v>
      </c>
    </row>
    <row r="132" spans="1:3" x14ac:dyDescent="0.25">
      <c r="A132" s="1" t="s">
        <v>133</v>
      </c>
      <c r="B132">
        <v>1.98</v>
      </c>
      <c r="C132">
        <v>47</v>
      </c>
    </row>
    <row r="133" spans="1:3" x14ac:dyDescent="0.25">
      <c r="A133" s="1" t="s">
        <v>134</v>
      </c>
      <c r="B133">
        <v>1.98</v>
      </c>
      <c r="C133">
        <v>47</v>
      </c>
    </row>
    <row r="134" spans="1:3" x14ac:dyDescent="0.25">
      <c r="A134" s="1" t="s">
        <v>135</v>
      </c>
      <c r="B134">
        <v>1.98</v>
      </c>
      <c r="C134">
        <v>47</v>
      </c>
    </row>
    <row r="135" spans="1:3" x14ac:dyDescent="0.25">
      <c r="A135" s="1" t="s">
        <v>136</v>
      </c>
      <c r="B135">
        <v>1.98</v>
      </c>
      <c r="C135">
        <v>47</v>
      </c>
    </row>
    <row r="136" spans="1:3" x14ac:dyDescent="0.25">
      <c r="A136" s="1" t="s">
        <v>137</v>
      </c>
      <c r="B136">
        <v>0.99</v>
      </c>
      <c r="C136">
        <v>48</v>
      </c>
    </row>
    <row r="137" spans="1:3" x14ac:dyDescent="0.25">
      <c r="A137" s="1" t="s">
        <v>138</v>
      </c>
      <c r="B137">
        <v>0.99</v>
      </c>
      <c r="C137">
        <v>48</v>
      </c>
    </row>
    <row r="138" spans="1:3" x14ac:dyDescent="0.25">
      <c r="A138" s="1" t="s">
        <v>139</v>
      </c>
      <c r="B138">
        <v>0.99</v>
      </c>
      <c r="C138">
        <v>48</v>
      </c>
    </row>
    <row r="139" spans="1:3" x14ac:dyDescent="0.25">
      <c r="A139" s="1" t="s">
        <v>140</v>
      </c>
      <c r="B139">
        <v>0.99</v>
      </c>
      <c r="C139">
        <v>48</v>
      </c>
    </row>
    <row r="140" spans="1:3" x14ac:dyDescent="0.25">
      <c r="A140" s="1" t="s">
        <v>141</v>
      </c>
      <c r="B140">
        <v>0.99</v>
      </c>
      <c r="C140">
        <v>48</v>
      </c>
    </row>
    <row r="141" spans="1:3" x14ac:dyDescent="0.25">
      <c r="A141" s="1" t="s">
        <v>142</v>
      </c>
      <c r="B141">
        <v>0.99</v>
      </c>
      <c r="C141">
        <v>48</v>
      </c>
    </row>
    <row r="142" spans="1:3" x14ac:dyDescent="0.25">
      <c r="A142" s="1" t="s">
        <v>143</v>
      </c>
      <c r="B142">
        <v>0.99</v>
      </c>
      <c r="C142">
        <v>48</v>
      </c>
    </row>
    <row r="143" spans="1:3" x14ac:dyDescent="0.25">
      <c r="A143" s="1" t="s">
        <v>144</v>
      </c>
      <c r="B143">
        <v>0.99</v>
      </c>
      <c r="C143">
        <v>48</v>
      </c>
    </row>
    <row r="144" spans="1:3" x14ac:dyDescent="0.25">
      <c r="A144" s="1" t="s">
        <v>145</v>
      </c>
      <c r="B144">
        <v>0.99</v>
      </c>
      <c r="C144">
        <v>48</v>
      </c>
    </row>
    <row r="145" spans="1:3" x14ac:dyDescent="0.25">
      <c r="A145" s="1" t="s">
        <v>146</v>
      </c>
      <c r="B145">
        <v>0.99</v>
      </c>
      <c r="C145">
        <v>48</v>
      </c>
    </row>
    <row r="146" spans="1:3" x14ac:dyDescent="0.25">
      <c r="A146" s="1" t="s">
        <v>147</v>
      </c>
      <c r="B146">
        <v>0.99</v>
      </c>
      <c r="C146">
        <v>48</v>
      </c>
    </row>
    <row r="147" spans="1:3" x14ac:dyDescent="0.25">
      <c r="A147" s="1" t="s">
        <v>148</v>
      </c>
      <c r="B147">
        <v>0.99</v>
      </c>
      <c r="C147">
        <v>48</v>
      </c>
    </row>
    <row r="148" spans="1:3" x14ac:dyDescent="0.25">
      <c r="A148" s="1" t="s">
        <v>149</v>
      </c>
      <c r="B148">
        <v>0.99</v>
      </c>
      <c r="C148">
        <v>48</v>
      </c>
    </row>
    <row r="149" spans="1:3" x14ac:dyDescent="0.25">
      <c r="A149" s="1" t="s">
        <v>150</v>
      </c>
      <c r="B149">
        <v>0.99</v>
      </c>
      <c r="C149">
        <v>48</v>
      </c>
    </row>
    <row r="150" spans="1:3" x14ac:dyDescent="0.25">
      <c r="A150" s="1" t="s">
        <v>151</v>
      </c>
      <c r="B150">
        <v>0.99</v>
      </c>
      <c r="C150">
        <v>48</v>
      </c>
    </row>
    <row r="151" spans="1:3" x14ac:dyDescent="0.25">
      <c r="A151" s="1" t="s">
        <v>152</v>
      </c>
      <c r="B151">
        <v>0.99</v>
      </c>
      <c r="C151">
        <v>48</v>
      </c>
    </row>
    <row r="152" spans="1:3" x14ac:dyDescent="0.25">
      <c r="A152" s="1" t="s">
        <v>153</v>
      </c>
      <c r="B152">
        <v>0.99</v>
      </c>
      <c r="C152">
        <v>48</v>
      </c>
    </row>
    <row r="153" spans="1:3" x14ac:dyDescent="0.25">
      <c r="A153" s="1" t="s">
        <v>154</v>
      </c>
      <c r="B153">
        <v>0.99</v>
      </c>
      <c r="C153">
        <v>48</v>
      </c>
    </row>
    <row r="154" spans="1:3" x14ac:dyDescent="0.25">
      <c r="A154" s="1" t="s">
        <v>155</v>
      </c>
      <c r="B154">
        <v>0.99</v>
      </c>
      <c r="C154">
        <v>48</v>
      </c>
    </row>
    <row r="155" spans="1:3" x14ac:dyDescent="0.25">
      <c r="A155" s="1" t="s">
        <v>156</v>
      </c>
      <c r="B155">
        <v>0.99</v>
      </c>
      <c r="C155">
        <v>48</v>
      </c>
    </row>
    <row r="156" spans="1:3" x14ac:dyDescent="0.25">
      <c r="A156" s="1" t="s">
        <v>157</v>
      </c>
      <c r="B156">
        <v>0.99</v>
      </c>
      <c r="C156">
        <v>48</v>
      </c>
    </row>
    <row r="157" spans="1:3" x14ac:dyDescent="0.25">
      <c r="A157" s="1" t="s">
        <v>158</v>
      </c>
      <c r="B157">
        <v>0.99</v>
      </c>
      <c r="C157">
        <v>48</v>
      </c>
    </row>
    <row r="158" spans="1:3" x14ac:dyDescent="0.25">
      <c r="A158" s="1" t="s">
        <v>159</v>
      </c>
      <c r="B158">
        <v>0.99</v>
      </c>
      <c r="C158">
        <v>48</v>
      </c>
    </row>
    <row r="159" spans="1:3" x14ac:dyDescent="0.25">
      <c r="A159" s="1" t="s">
        <v>160</v>
      </c>
      <c r="B159">
        <v>0.99</v>
      </c>
      <c r="C159">
        <v>48</v>
      </c>
    </row>
    <row r="160" spans="1:3" x14ac:dyDescent="0.25">
      <c r="A160" s="1" t="s">
        <v>161</v>
      </c>
      <c r="B160">
        <v>0.99</v>
      </c>
      <c r="C160">
        <v>48</v>
      </c>
    </row>
    <row r="161" spans="1:3" x14ac:dyDescent="0.25">
      <c r="A161" s="1" t="s">
        <v>162</v>
      </c>
      <c r="B161">
        <v>0.99</v>
      </c>
      <c r="C161">
        <v>48</v>
      </c>
    </row>
    <row r="162" spans="1:3" x14ac:dyDescent="0.25">
      <c r="A162" s="1" t="s">
        <v>163</v>
      </c>
      <c r="B162">
        <v>0.99</v>
      </c>
      <c r="C162">
        <v>48</v>
      </c>
    </row>
    <row r="163" spans="1:3" x14ac:dyDescent="0.25">
      <c r="A163" s="1" t="s">
        <v>164</v>
      </c>
      <c r="B163">
        <v>0.99</v>
      </c>
      <c r="C163">
        <v>48</v>
      </c>
    </row>
    <row r="164" spans="1:3" x14ac:dyDescent="0.25">
      <c r="A164" s="1" t="s">
        <v>165</v>
      </c>
      <c r="B164">
        <v>0.99</v>
      </c>
      <c r="C164">
        <v>48</v>
      </c>
    </row>
    <row r="165" spans="1:3" x14ac:dyDescent="0.25">
      <c r="A165" s="1" t="s">
        <v>166</v>
      </c>
      <c r="B165">
        <v>0.99</v>
      </c>
      <c r="C165">
        <v>48</v>
      </c>
    </row>
    <row r="166" spans="1:3" x14ac:dyDescent="0.25">
      <c r="A166" s="1" t="s">
        <v>167</v>
      </c>
      <c r="B166">
        <v>0.99</v>
      </c>
      <c r="C166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B420-2A29-492B-8FAF-F5F5A4E1BEB5}">
  <dimension ref="A1:G10"/>
  <sheetViews>
    <sheetView workbookViewId="0">
      <selection activeCell="C10" sqref="C10"/>
    </sheetView>
  </sheetViews>
  <sheetFormatPr defaultRowHeight="15" x14ac:dyDescent="0.25"/>
  <cols>
    <col min="1" max="1" width="13.85546875" bestFit="1" customWidth="1"/>
    <col min="2" max="2" width="18.42578125" bestFit="1" customWidth="1"/>
    <col min="3" max="3" width="15.85546875" bestFit="1" customWidth="1"/>
    <col min="4" max="4" width="17.7109375" bestFit="1" customWidth="1"/>
    <col min="5" max="5" width="13.85546875" bestFit="1" customWidth="1"/>
    <col min="6" max="6" width="20.42578125" bestFit="1" customWidth="1"/>
    <col min="7" max="7" width="22.28515625" bestFit="1" customWidth="1"/>
  </cols>
  <sheetData>
    <row r="1" spans="1:7" x14ac:dyDescent="0.25">
      <c r="A1" t="s">
        <v>282</v>
      </c>
      <c r="B1" t="s">
        <v>283</v>
      </c>
      <c r="C1" t="s">
        <v>344</v>
      </c>
      <c r="D1" t="s">
        <v>345</v>
      </c>
      <c r="E1" t="s">
        <v>196</v>
      </c>
      <c r="F1" t="s">
        <v>346</v>
      </c>
      <c r="G1" t="s">
        <v>347</v>
      </c>
    </row>
    <row r="2" spans="1:7" x14ac:dyDescent="0.25">
      <c r="A2">
        <v>3</v>
      </c>
      <c r="B2" s="1" t="s">
        <v>287</v>
      </c>
      <c r="C2">
        <v>146</v>
      </c>
      <c r="D2">
        <v>21</v>
      </c>
      <c r="E2" s="1" t="s">
        <v>348</v>
      </c>
      <c r="F2" s="1" t="s">
        <v>349</v>
      </c>
      <c r="G2" s="1" t="s">
        <v>350</v>
      </c>
    </row>
    <row r="3" spans="1:7" x14ac:dyDescent="0.25">
      <c r="A3">
        <v>4</v>
      </c>
      <c r="B3" s="1" t="s">
        <v>288</v>
      </c>
      <c r="C3">
        <v>140</v>
      </c>
      <c r="D3">
        <v>20</v>
      </c>
      <c r="E3" s="1" t="s">
        <v>351</v>
      </c>
      <c r="F3" s="1" t="s">
        <v>352</v>
      </c>
      <c r="G3" s="1" t="s">
        <v>353</v>
      </c>
    </row>
    <row r="4" spans="1:7" x14ac:dyDescent="0.25">
      <c r="A4">
        <v>5</v>
      </c>
      <c r="B4" s="1" t="s">
        <v>289</v>
      </c>
      <c r="C4">
        <v>126</v>
      </c>
      <c r="D4">
        <v>18</v>
      </c>
      <c r="E4" s="1" t="s">
        <v>354</v>
      </c>
      <c r="F4" s="1" t="s">
        <v>355</v>
      </c>
      <c r="G4" s="1" t="s">
        <v>356</v>
      </c>
    </row>
    <row r="5" spans="1:7" x14ac:dyDescent="0.25">
      <c r="A5">
        <v>1</v>
      </c>
      <c r="B5" s="1" t="s">
        <v>284</v>
      </c>
      <c r="C5">
        <v>0</v>
      </c>
      <c r="D5">
        <v>0</v>
      </c>
      <c r="E5" s="1" t="s">
        <v>285</v>
      </c>
      <c r="F5" s="1" t="s">
        <v>285</v>
      </c>
      <c r="G5" s="1" t="s">
        <v>285</v>
      </c>
    </row>
    <row r="6" spans="1:7" x14ac:dyDescent="0.25">
      <c r="A6">
        <v>2</v>
      </c>
      <c r="B6" s="1" t="s">
        <v>286</v>
      </c>
      <c r="C6">
        <v>0</v>
      </c>
      <c r="D6">
        <v>0</v>
      </c>
      <c r="E6" s="1" t="s">
        <v>285</v>
      </c>
      <c r="F6" s="1" t="s">
        <v>285</v>
      </c>
      <c r="G6" s="1" t="s">
        <v>285</v>
      </c>
    </row>
    <row r="7" spans="1:7" x14ac:dyDescent="0.25">
      <c r="A7">
        <v>6</v>
      </c>
      <c r="B7" s="1" t="s">
        <v>290</v>
      </c>
      <c r="C7">
        <v>0</v>
      </c>
      <c r="D7">
        <v>0</v>
      </c>
      <c r="E7" s="1" t="s">
        <v>285</v>
      </c>
      <c r="F7" s="1" t="s">
        <v>285</v>
      </c>
      <c r="G7" s="1" t="s">
        <v>285</v>
      </c>
    </row>
    <row r="8" spans="1:7" x14ac:dyDescent="0.25">
      <c r="A8">
        <v>7</v>
      </c>
      <c r="B8" s="1" t="s">
        <v>291</v>
      </c>
      <c r="C8">
        <v>0</v>
      </c>
      <c r="D8">
        <v>0</v>
      </c>
      <c r="E8" s="1" t="s">
        <v>285</v>
      </c>
      <c r="F8" s="1" t="s">
        <v>285</v>
      </c>
      <c r="G8" s="1" t="s">
        <v>285</v>
      </c>
    </row>
    <row r="9" spans="1:7" x14ac:dyDescent="0.25">
      <c r="A9">
        <v>8</v>
      </c>
      <c r="B9" s="1" t="s">
        <v>292</v>
      </c>
      <c r="C9">
        <v>0</v>
      </c>
      <c r="D9">
        <v>0</v>
      </c>
      <c r="E9" s="1" t="s">
        <v>285</v>
      </c>
      <c r="F9" s="1" t="s">
        <v>285</v>
      </c>
      <c r="G9" s="1" t="s">
        <v>285</v>
      </c>
    </row>
    <row r="10" spans="1:7" x14ac:dyDescent="0.25">
      <c r="B10" s="1"/>
      <c r="E10" s="1"/>
      <c r="F10" s="1"/>
      <c r="G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8340-B35E-42A0-8ADD-F839CC880291}">
  <dimension ref="A1:C26"/>
  <sheetViews>
    <sheetView topLeftCell="A22" workbookViewId="0">
      <selection activeCell="E14" sqref="E14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5.7109375" bestFit="1" customWidth="1"/>
  </cols>
  <sheetData>
    <row r="1" spans="1:3" x14ac:dyDescent="0.25">
      <c r="A1" t="s">
        <v>168</v>
      </c>
      <c r="B1" t="s">
        <v>1</v>
      </c>
      <c r="C1" t="s">
        <v>2</v>
      </c>
    </row>
    <row r="2" spans="1:3" x14ac:dyDescent="0.25">
      <c r="A2" s="1" t="s">
        <v>169</v>
      </c>
      <c r="B2">
        <v>826.65</v>
      </c>
      <c r="C2">
        <v>1</v>
      </c>
    </row>
    <row r="3" spans="1:3" x14ac:dyDescent="0.25">
      <c r="A3" s="1" t="s">
        <v>170</v>
      </c>
      <c r="B3">
        <v>382.14</v>
      </c>
      <c r="C3">
        <v>2</v>
      </c>
    </row>
    <row r="4" spans="1:3" x14ac:dyDescent="0.25">
      <c r="A4" s="1" t="s">
        <v>171</v>
      </c>
      <c r="B4">
        <v>261.36</v>
      </c>
      <c r="C4">
        <v>3</v>
      </c>
    </row>
    <row r="5" spans="1:3" x14ac:dyDescent="0.25">
      <c r="A5" s="1" t="s">
        <v>172</v>
      </c>
      <c r="B5">
        <v>241.56</v>
      </c>
      <c r="C5">
        <v>4</v>
      </c>
    </row>
    <row r="6" spans="1:3" x14ac:dyDescent="0.25">
      <c r="A6" s="1" t="s">
        <v>173</v>
      </c>
      <c r="B6">
        <v>93.53</v>
      </c>
      <c r="C6">
        <v>5</v>
      </c>
    </row>
    <row r="7" spans="1:3" x14ac:dyDescent="0.25">
      <c r="A7" s="1" t="s">
        <v>174</v>
      </c>
      <c r="B7">
        <v>79.2</v>
      </c>
      <c r="C7">
        <v>6</v>
      </c>
    </row>
    <row r="8" spans="1:3" x14ac:dyDescent="0.25">
      <c r="A8" s="1" t="s">
        <v>175</v>
      </c>
      <c r="B8">
        <v>60.39</v>
      </c>
      <c r="C8">
        <v>7</v>
      </c>
    </row>
    <row r="9" spans="1:3" x14ac:dyDescent="0.25">
      <c r="A9" s="1" t="s">
        <v>176</v>
      </c>
      <c r="B9">
        <v>57.71</v>
      </c>
      <c r="C9">
        <v>8</v>
      </c>
    </row>
    <row r="10" spans="1:3" x14ac:dyDescent="0.25">
      <c r="A10" s="1" t="s">
        <v>177</v>
      </c>
      <c r="B10">
        <v>40.590000000000003</v>
      </c>
      <c r="C10">
        <v>9</v>
      </c>
    </row>
    <row r="11" spans="1:3" x14ac:dyDescent="0.25">
      <c r="A11" s="1" t="s">
        <v>178</v>
      </c>
      <c r="B11">
        <v>40.590000000000003</v>
      </c>
      <c r="C11">
        <v>9</v>
      </c>
    </row>
    <row r="12" spans="1:3" x14ac:dyDescent="0.25">
      <c r="A12" s="1" t="s">
        <v>179</v>
      </c>
      <c r="B12">
        <v>39.799999999999997</v>
      </c>
      <c r="C12">
        <v>10</v>
      </c>
    </row>
    <row r="13" spans="1:3" x14ac:dyDescent="0.25">
      <c r="A13" s="1" t="s">
        <v>180</v>
      </c>
      <c r="B13">
        <v>29.7</v>
      </c>
      <c r="C13">
        <v>11</v>
      </c>
    </row>
    <row r="14" spans="1:3" x14ac:dyDescent="0.25">
      <c r="A14" s="1" t="s">
        <v>181</v>
      </c>
      <c r="B14">
        <v>27.72</v>
      </c>
      <c r="C14">
        <v>12</v>
      </c>
    </row>
    <row r="15" spans="1:3" x14ac:dyDescent="0.25">
      <c r="A15" s="1" t="s">
        <v>182</v>
      </c>
      <c r="B15">
        <v>19.8</v>
      </c>
      <c r="C15">
        <v>13</v>
      </c>
    </row>
    <row r="16" spans="1:3" x14ac:dyDescent="0.25">
      <c r="A16" s="1" t="s">
        <v>183</v>
      </c>
      <c r="B16">
        <v>17.91</v>
      </c>
      <c r="C16">
        <v>14</v>
      </c>
    </row>
    <row r="17" spans="1:3" x14ac:dyDescent="0.25">
      <c r="A17" s="1" t="s">
        <v>184</v>
      </c>
      <c r="B17">
        <v>16.829999999999998</v>
      </c>
      <c r="C17">
        <v>15</v>
      </c>
    </row>
    <row r="18" spans="1:3" x14ac:dyDescent="0.25">
      <c r="A18" s="1" t="s">
        <v>185</v>
      </c>
      <c r="B18">
        <v>14.85</v>
      </c>
      <c r="C18">
        <v>16</v>
      </c>
    </row>
    <row r="19" spans="1:3" x14ac:dyDescent="0.25">
      <c r="A19" s="1" t="s">
        <v>186</v>
      </c>
      <c r="B19">
        <v>13.86</v>
      </c>
      <c r="C19">
        <v>17</v>
      </c>
    </row>
    <row r="20" spans="1:3" x14ac:dyDescent="0.25">
      <c r="A20" s="1" t="s">
        <v>187</v>
      </c>
      <c r="B20">
        <v>12.87</v>
      </c>
      <c r="C20">
        <v>18</v>
      </c>
    </row>
    <row r="21" spans="1:3" x14ac:dyDescent="0.25">
      <c r="A21" s="1" t="s">
        <v>188</v>
      </c>
      <c r="B21">
        <v>11.94</v>
      </c>
      <c r="C21">
        <v>19</v>
      </c>
    </row>
    <row r="22" spans="1:3" x14ac:dyDescent="0.25">
      <c r="A22" s="1" t="s">
        <v>189</v>
      </c>
      <c r="B22">
        <v>11.88</v>
      </c>
      <c r="C22">
        <v>20</v>
      </c>
    </row>
    <row r="23" spans="1:3" x14ac:dyDescent="0.25">
      <c r="A23" s="1" t="s">
        <v>190</v>
      </c>
      <c r="B23">
        <v>11.88</v>
      </c>
      <c r="C23">
        <v>20</v>
      </c>
    </row>
    <row r="24" spans="1:3" x14ac:dyDescent="0.25">
      <c r="A24" s="1" t="s">
        <v>191</v>
      </c>
      <c r="B24">
        <v>9.9</v>
      </c>
      <c r="C24">
        <v>21</v>
      </c>
    </row>
    <row r="25" spans="1:3" x14ac:dyDescent="0.25">
      <c r="A25" s="1" t="s">
        <v>192</v>
      </c>
      <c r="B25">
        <v>5.94</v>
      </c>
      <c r="C25">
        <v>22</v>
      </c>
    </row>
    <row r="26" spans="1:3" x14ac:dyDescent="0.25">
      <c r="A2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3DA9-52CE-4633-BCD5-F528ED14DFC1}">
  <dimension ref="A1:E60"/>
  <sheetViews>
    <sheetView topLeftCell="A44" workbookViewId="0">
      <selection activeCell="D62" sqref="D62"/>
    </sheetView>
  </sheetViews>
  <sheetFormatPr defaultRowHeight="15" x14ac:dyDescent="0.25"/>
  <cols>
    <col min="1" max="1" width="13.5703125" bestFit="1" customWidth="1"/>
    <col min="2" max="2" width="21.42578125" bestFit="1" customWidth="1"/>
    <col min="3" max="3" width="15.5703125" bestFit="1" customWidth="1"/>
    <col min="4" max="4" width="13.85546875" bestFit="1" customWidth="1"/>
    <col min="5" max="5" width="13.5703125" bestFit="1" customWidth="1"/>
  </cols>
  <sheetData>
    <row r="1" spans="1:5" x14ac:dyDescent="0.25">
      <c r="A1" t="s">
        <v>193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25">
      <c r="A2">
        <v>6</v>
      </c>
      <c r="B2" s="1" t="s">
        <v>198</v>
      </c>
      <c r="C2">
        <v>5</v>
      </c>
      <c r="D2">
        <v>49.62</v>
      </c>
      <c r="E2">
        <v>1</v>
      </c>
    </row>
    <row r="3" spans="1:5" x14ac:dyDescent="0.25">
      <c r="A3">
        <v>26</v>
      </c>
      <c r="B3" s="1" t="s">
        <v>199</v>
      </c>
      <c r="C3">
        <v>4</v>
      </c>
      <c r="D3">
        <v>47.62</v>
      </c>
      <c r="E3">
        <v>2</v>
      </c>
    </row>
    <row r="4" spans="1:5" x14ac:dyDescent="0.25">
      <c r="A4">
        <v>57</v>
      </c>
      <c r="B4" s="1" t="s">
        <v>200</v>
      </c>
      <c r="C4">
        <v>5</v>
      </c>
      <c r="D4">
        <v>46.62</v>
      </c>
      <c r="E4">
        <v>3</v>
      </c>
    </row>
    <row r="5" spans="1:5" x14ac:dyDescent="0.25">
      <c r="A5">
        <v>46</v>
      </c>
      <c r="B5" s="1" t="s">
        <v>201</v>
      </c>
      <c r="C5">
        <v>3</v>
      </c>
      <c r="D5">
        <v>45.62</v>
      </c>
      <c r="E5">
        <v>4</v>
      </c>
    </row>
    <row r="6" spans="1:5" x14ac:dyDescent="0.25">
      <c r="A6">
        <v>45</v>
      </c>
      <c r="B6" s="1" t="s">
        <v>202</v>
      </c>
      <c r="C6">
        <v>3</v>
      </c>
      <c r="D6">
        <v>45.62</v>
      </c>
      <c r="E6">
        <v>4</v>
      </c>
    </row>
    <row r="7" spans="1:5" x14ac:dyDescent="0.25">
      <c r="A7">
        <v>37</v>
      </c>
      <c r="B7" s="1" t="s">
        <v>203</v>
      </c>
      <c r="C7">
        <v>3</v>
      </c>
      <c r="D7">
        <v>43.62</v>
      </c>
      <c r="E7">
        <v>5</v>
      </c>
    </row>
    <row r="8" spans="1:5" x14ac:dyDescent="0.25">
      <c r="A8">
        <v>28</v>
      </c>
      <c r="B8" s="1" t="s">
        <v>204</v>
      </c>
      <c r="C8">
        <v>5</v>
      </c>
      <c r="D8">
        <v>43.62</v>
      </c>
      <c r="E8">
        <v>5</v>
      </c>
    </row>
    <row r="9" spans="1:5" x14ac:dyDescent="0.25">
      <c r="A9">
        <v>24</v>
      </c>
      <c r="B9" s="1" t="s">
        <v>205</v>
      </c>
      <c r="C9">
        <v>3</v>
      </c>
      <c r="D9">
        <v>43.62</v>
      </c>
      <c r="E9">
        <v>5</v>
      </c>
    </row>
    <row r="10" spans="1:5" x14ac:dyDescent="0.25">
      <c r="A10">
        <v>25</v>
      </c>
      <c r="B10" s="1" t="s">
        <v>206</v>
      </c>
      <c r="C10">
        <v>5</v>
      </c>
      <c r="D10">
        <v>42.62</v>
      </c>
      <c r="E10">
        <v>6</v>
      </c>
    </row>
    <row r="11" spans="1:5" x14ac:dyDescent="0.25">
      <c r="A11">
        <v>7</v>
      </c>
      <c r="B11" s="1" t="s">
        <v>207</v>
      </c>
      <c r="C11">
        <v>5</v>
      </c>
      <c r="D11">
        <v>42.62</v>
      </c>
      <c r="E11">
        <v>6</v>
      </c>
    </row>
    <row r="12" spans="1:5" x14ac:dyDescent="0.25">
      <c r="A12">
        <v>44</v>
      </c>
      <c r="B12" s="1" t="s">
        <v>208</v>
      </c>
      <c r="C12">
        <v>3</v>
      </c>
      <c r="D12">
        <v>41.62</v>
      </c>
      <c r="E12">
        <v>7</v>
      </c>
    </row>
    <row r="13" spans="1:5" x14ac:dyDescent="0.25">
      <c r="A13">
        <v>48</v>
      </c>
      <c r="B13" s="1" t="s">
        <v>209</v>
      </c>
      <c r="C13">
        <v>5</v>
      </c>
      <c r="D13">
        <v>40.619999999999997</v>
      </c>
      <c r="E13">
        <v>8</v>
      </c>
    </row>
    <row r="14" spans="1:5" x14ac:dyDescent="0.25">
      <c r="A14">
        <v>5</v>
      </c>
      <c r="B14" s="1" t="s">
        <v>210</v>
      </c>
      <c r="C14">
        <v>4</v>
      </c>
      <c r="D14">
        <v>40.619999999999997</v>
      </c>
      <c r="E14">
        <v>8</v>
      </c>
    </row>
    <row r="15" spans="1:5" x14ac:dyDescent="0.25">
      <c r="A15">
        <v>43</v>
      </c>
      <c r="B15" s="1" t="s">
        <v>211</v>
      </c>
      <c r="C15">
        <v>3</v>
      </c>
      <c r="D15">
        <v>40.619999999999997</v>
      </c>
      <c r="E15">
        <v>8</v>
      </c>
    </row>
    <row r="16" spans="1:5" x14ac:dyDescent="0.25">
      <c r="A16">
        <v>4</v>
      </c>
      <c r="B16" s="1" t="s">
        <v>212</v>
      </c>
      <c r="C16">
        <v>4</v>
      </c>
      <c r="D16">
        <v>39.619999999999997</v>
      </c>
      <c r="E16">
        <v>9</v>
      </c>
    </row>
    <row r="17" spans="1:5" x14ac:dyDescent="0.25">
      <c r="A17">
        <v>3</v>
      </c>
      <c r="B17" s="1" t="s">
        <v>213</v>
      </c>
      <c r="C17">
        <v>3</v>
      </c>
      <c r="D17">
        <v>39.619999999999997</v>
      </c>
      <c r="E17">
        <v>9</v>
      </c>
    </row>
    <row r="18" spans="1:5" x14ac:dyDescent="0.25">
      <c r="A18">
        <v>42</v>
      </c>
      <c r="B18" s="1" t="s">
        <v>214</v>
      </c>
      <c r="C18">
        <v>3</v>
      </c>
      <c r="D18">
        <v>39.619999999999997</v>
      </c>
      <c r="E18">
        <v>9</v>
      </c>
    </row>
    <row r="19" spans="1:5" x14ac:dyDescent="0.25">
      <c r="A19">
        <v>34</v>
      </c>
      <c r="B19" s="1" t="s">
        <v>215</v>
      </c>
      <c r="C19">
        <v>4</v>
      </c>
      <c r="D19">
        <v>39.619999999999997</v>
      </c>
      <c r="E19">
        <v>9</v>
      </c>
    </row>
    <row r="20" spans="1:5" x14ac:dyDescent="0.25">
      <c r="A20">
        <v>17</v>
      </c>
      <c r="B20" s="1" t="s">
        <v>216</v>
      </c>
      <c r="C20">
        <v>5</v>
      </c>
      <c r="D20">
        <v>39.619999999999997</v>
      </c>
      <c r="E20">
        <v>9</v>
      </c>
    </row>
    <row r="21" spans="1:5" x14ac:dyDescent="0.25">
      <c r="A21">
        <v>22</v>
      </c>
      <c r="B21" s="1" t="s">
        <v>217</v>
      </c>
      <c r="C21">
        <v>4</v>
      </c>
      <c r="D21">
        <v>39.619999999999997</v>
      </c>
      <c r="E21">
        <v>9</v>
      </c>
    </row>
    <row r="22" spans="1:5" x14ac:dyDescent="0.25">
      <c r="A22">
        <v>1</v>
      </c>
      <c r="B22" s="1" t="s">
        <v>218</v>
      </c>
      <c r="C22">
        <v>3</v>
      </c>
      <c r="D22">
        <v>39.619999999999997</v>
      </c>
      <c r="E22">
        <v>9</v>
      </c>
    </row>
    <row r="23" spans="1:5" x14ac:dyDescent="0.25">
      <c r="A23">
        <v>20</v>
      </c>
      <c r="B23" s="1" t="s">
        <v>219</v>
      </c>
      <c r="C23">
        <v>4</v>
      </c>
      <c r="D23">
        <v>39.619999999999997</v>
      </c>
      <c r="E23">
        <v>9</v>
      </c>
    </row>
    <row r="24" spans="1:5" x14ac:dyDescent="0.25">
      <c r="A24">
        <v>40</v>
      </c>
      <c r="B24" s="1" t="s">
        <v>220</v>
      </c>
      <c r="C24">
        <v>4</v>
      </c>
      <c r="D24">
        <v>38.619999999999997</v>
      </c>
      <c r="E24">
        <v>10</v>
      </c>
    </row>
    <row r="25" spans="1:5" x14ac:dyDescent="0.25">
      <c r="A25">
        <v>51</v>
      </c>
      <c r="B25" s="1" t="s">
        <v>221</v>
      </c>
      <c r="C25">
        <v>5</v>
      </c>
      <c r="D25">
        <v>38.619999999999997</v>
      </c>
      <c r="E25">
        <v>10</v>
      </c>
    </row>
    <row r="26" spans="1:5" x14ac:dyDescent="0.25">
      <c r="A26">
        <v>15</v>
      </c>
      <c r="B26" s="1" t="s">
        <v>222</v>
      </c>
      <c r="C26">
        <v>3</v>
      </c>
      <c r="D26">
        <v>38.619999999999997</v>
      </c>
      <c r="E26">
        <v>10</v>
      </c>
    </row>
    <row r="27" spans="1:5" x14ac:dyDescent="0.25">
      <c r="A27">
        <v>19</v>
      </c>
      <c r="B27" s="1" t="s">
        <v>223</v>
      </c>
      <c r="C27">
        <v>3</v>
      </c>
      <c r="D27">
        <v>38.619999999999997</v>
      </c>
      <c r="E27">
        <v>10</v>
      </c>
    </row>
    <row r="28" spans="1:5" x14ac:dyDescent="0.25">
      <c r="A28">
        <v>39</v>
      </c>
      <c r="B28" s="1" t="s">
        <v>224</v>
      </c>
      <c r="C28">
        <v>4</v>
      </c>
      <c r="D28">
        <v>38.619999999999997</v>
      </c>
      <c r="E28">
        <v>10</v>
      </c>
    </row>
    <row r="29" spans="1:5" x14ac:dyDescent="0.25">
      <c r="A29">
        <v>58</v>
      </c>
      <c r="B29" s="1" t="s">
        <v>225</v>
      </c>
      <c r="C29">
        <v>3</v>
      </c>
      <c r="D29">
        <v>38.619999999999997</v>
      </c>
      <c r="E29">
        <v>10</v>
      </c>
    </row>
    <row r="30" spans="1:5" x14ac:dyDescent="0.25">
      <c r="A30">
        <v>13</v>
      </c>
      <c r="B30" s="1" t="s">
        <v>226</v>
      </c>
      <c r="C30">
        <v>4</v>
      </c>
      <c r="D30">
        <v>37.619999999999997</v>
      </c>
      <c r="E30">
        <v>11</v>
      </c>
    </row>
    <row r="31" spans="1:5" x14ac:dyDescent="0.25">
      <c r="A31">
        <v>2</v>
      </c>
      <c r="B31" s="1" t="s">
        <v>227</v>
      </c>
      <c r="C31">
        <v>5</v>
      </c>
      <c r="D31">
        <v>37.619999999999997</v>
      </c>
      <c r="E31">
        <v>11</v>
      </c>
    </row>
    <row r="32" spans="1:5" x14ac:dyDescent="0.25">
      <c r="A32">
        <v>50</v>
      </c>
      <c r="B32" s="1" t="s">
        <v>228</v>
      </c>
      <c r="C32">
        <v>5</v>
      </c>
      <c r="D32">
        <v>37.619999999999997</v>
      </c>
      <c r="E32">
        <v>11</v>
      </c>
    </row>
    <row r="33" spans="1:5" x14ac:dyDescent="0.25">
      <c r="A33">
        <v>53</v>
      </c>
      <c r="B33" s="1" t="s">
        <v>229</v>
      </c>
      <c r="C33">
        <v>3</v>
      </c>
      <c r="D33">
        <v>37.619999999999997</v>
      </c>
      <c r="E33">
        <v>11</v>
      </c>
    </row>
    <row r="34" spans="1:5" x14ac:dyDescent="0.25">
      <c r="A34">
        <v>8</v>
      </c>
      <c r="B34" s="1" t="s">
        <v>230</v>
      </c>
      <c r="C34">
        <v>4</v>
      </c>
      <c r="D34">
        <v>37.619999999999997</v>
      </c>
      <c r="E34">
        <v>11</v>
      </c>
    </row>
    <row r="35" spans="1:5" x14ac:dyDescent="0.25">
      <c r="A35">
        <v>29</v>
      </c>
      <c r="B35" s="1" t="s">
        <v>231</v>
      </c>
      <c r="C35">
        <v>3</v>
      </c>
      <c r="D35">
        <v>37.619999999999997</v>
      </c>
      <c r="E35">
        <v>11</v>
      </c>
    </row>
    <row r="36" spans="1:5" x14ac:dyDescent="0.25">
      <c r="A36">
        <v>30</v>
      </c>
      <c r="B36" s="1" t="s">
        <v>232</v>
      </c>
      <c r="C36">
        <v>3</v>
      </c>
      <c r="D36">
        <v>37.619999999999997</v>
      </c>
      <c r="E36">
        <v>11</v>
      </c>
    </row>
    <row r="37" spans="1:5" x14ac:dyDescent="0.25">
      <c r="A37">
        <v>32</v>
      </c>
      <c r="B37" s="1" t="s">
        <v>233</v>
      </c>
      <c r="C37">
        <v>4</v>
      </c>
      <c r="D37">
        <v>37.619999999999997</v>
      </c>
      <c r="E37">
        <v>11</v>
      </c>
    </row>
    <row r="38" spans="1:5" x14ac:dyDescent="0.25">
      <c r="A38">
        <v>14</v>
      </c>
      <c r="B38" s="1" t="s">
        <v>234</v>
      </c>
      <c r="C38">
        <v>5</v>
      </c>
      <c r="D38">
        <v>37.619999999999997</v>
      </c>
      <c r="E38">
        <v>11</v>
      </c>
    </row>
    <row r="39" spans="1:5" x14ac:dyDescent="0.25">
      <c r="A39">
        <v>9</v>
      </c>
      <c r="B39" s="1" t="s">
        <v>235</v>
      </c>
      <c r="C39">
        <v>4</v>
      </c>
      <c r="D39">
        <v>37.619999999999997</v>
      </c>
      <c r="E39">
        <v>11</v>
      </c>
    </row>
    <row r="40" spans="1:5" x14ac:dyDescent="0.25">
      <c r="A40">
        <v>11</v>
      </c>
      <c r="B40" s="1" t="s">
        <v>236</v>
      </c>
      <c r="C40">
        <v>5</v>
      </c>
      <c r="D40">
        <v>37.619999999999997</v>
      </c>
      <c r="E40">
        <v>11</v>
      </c>
    </row>
    <row r="41" spans="1:5" x14ac:dyDescent="0.25">
      <c r="A41">
        <v>47</v>
      </c>
      <c r="B41" s="1" t="s">
        <v>237</v>
      </c>
      <c r="C41">
        <v>5</v>
      </c>
      <c r="D41">
        <v>37.619999999999997</v>
      </c>
      <c r="E41">
        <v>11</v>
      </c>
    </row>
    <row r="42" spans="1:5" x14ac:dyDescent="0.25">
      <c r="A42">
        <v>49</v>
      </c>
      <c r="B42" s="1" t="s">
        <v>238</v>
      </c>
      <c r="C42">
        <v>4</v>
      </c>
      <c r="D42">
        <v>37.619999999999997</v>
      </c>
      <c r="E42">
        <v>11</v>
      </c>
    </row>
    <row r="43" spans="1:5" x14ac:dyDescent="0.25">
      <c r="A43">
        <v>23</v>
      </c>
      <c r="B43" s="1" t="s">
        <v>239</v>
      </c>
      <c r="C43">
        <v>4</v>
      </c>
      <c r="D43">
        <v>37.619999999999997</v>
      </c>
      <c r="E43">
        <v>11</v>
      </c>
    </row>
    <row r="44" spans="1:5" x14ac:dyDescent="0.25">
      <c r="A44">
        <v>38</v>
      </c>
      <c r="B44" s="1" t="s">
        <v>240</v>
      </c>
      <c r="C44">
        <v>3</v>
      </c>
      <c r="D44">
        <v>37.619999999999997</v>
      </c>
      <c r="E44">
        <v>11</v>
      </c>
    </row>
    <row r="45" spans="1:5" x14ac:dyDescent="0.25">
      <c r="A45">
        <v>52</v>
      </c>
      <c r="B45" s="1" t="s">
        <v>241</v>
      </c>
      <c r="C45">
        <v>3</v>
      </c>
      <c r="D45">
        <v>37.619999999999997</v>
      </c>
      <c r="E45">
        <v>11</v>
      </c>
    </row>
    <row r="46" spans="1:5" x14ac:dyDescent="0.25">
      <c r="A46">
        <v>16</v>
      </c>
      <c r="B46" s="1" t="s">
        <v>242</v>
      </c>
      <c r="C46">
        <v>4</v>
      </c>
      <c r="D46">
        <v>37.619999999999997</v>
      </c>
      <c r="E46">
        <v>11</v>
      </c>
    </row>
    <row r="47" spans="1:5" x14ac:dyDescent="0.25">
      <c r="A47">
        <v>21</v>
      </c>
      <c r="B47" s="1" t="s">
        <v>243</v>
      </c>
      <c r="C47">
        <v>5</v>
      </c>
      <c r="D47">
        <v>37.619999999999997</v>
      </c>
      <c r="E47">
        <v>11</v>
      </c>
    </row>
    <row r="48" spans="1:5" x14ac:dyDescent="0.25">
      <c r="A48">
        <v>31</v>
      </c>
      <c r="B48" s="1" t="s">
        <v>244</v>
      </c>
      <c r="C48">
        <v>5</v>
      </c>
      <c r="D48">
        <v>37.619999999999997</v>
      </c>
      <c r="E48">
        <v>11</v>
      </c>
    </row>
    <row r="49" spans="1:5" x14ac:dyDescent="0.25">
      <c r="A49">
        <v>54</v>
      </c>
      <c r="B49" s="1" t="s">
        <v>245</v>
      </c>
      <c r="C49">
        <v>5</v>
      </c>
      <c r="D49">
        <v>37.619999999999997</v>
      </c>
      <c r="E49">
        <v>11</v>
      </c>
    </row>
    <row r="50" spans="1:5" x14ac:dyDescent="0.25">
      <c r="A50">
        <v>55</v>
      </c>
      <c r="B50" s="1" t="s">
        <v>246</v>
      </c>
      <c r="C50">
        <v>4</v>
      </c>
      <c r="D50">
        <v>37.619999999999997</v>
      </c>
      <c r="E50">
        <v>11</v>
      </c>
    </row>
    <row r="51" spans="1:5" x14ac:dyDescent="0.25">
      <c r="A51">
        <v>10</v>
      </c>
      <c r="B51" s="1" t="s">
        <v>247</v>
      </c>
      <c r="C51">
        <v>4</v>
      </c>
      <c r="D51">
        <v>37.619999999999997</v>
      </c>
      <c r="E51">
        <v>11</v>
      </c>
    </row>
    <row r="52" spans="1:5" x14ac:dyDescent="0.25">
      <c r="A52">
        <v>27</v>
      </c>
      <c r="B52" s="1" t="s">
        <v>248</v>
      </c>
      <c r="C52">
        <v>4</v>
      </c>
      <c r="D52">
        <v>37.619999999999997</v>
      </c>
      <c r="E52">
        <v>11</v>
      </c>
    </row>
    <row r="53" spans="1:5" x14ac:dyDescent="0.25">
      <c r="A53">
        <v>33</v>
      </c>
      <c r="B53" s="1" t="s">
        <v>249</v>
      </c>
      <c r="C53">
        <v>3</v>
      </c>
      <c r="D53">
        <v>37.619999999999997</v>
      </c>
      <c r="E53">
        <v>11</v>
      </c>
    </row>
    <row r="54" spans="1:5" x14ac:dyDescent="0.25">
      <c r="A54">
        <v>41</v>
      </c>
      <c r="B54" s="1" t="s">
        <v>250</v>
      </c>
      <c r="C54">
        <v>5</v>
      </c>
      <c r="D54">
        <v>37.619999999999997</v>
      </c>
      <c r="E54">
        <v>11</v>
      </c>
    </row>
    <row r="55" spans="1:5" x14ac:dyDescent="0.25">
      <c r="A55">
        <v>18</v>
      </c>
      <c r="B55" s="1" t="s">
        <v>251</v>
      </c>
      <c r="C55">
        <v>3</v>
      </c>
      <c r="D55">
        <v>37.619999999999997</v>
      </c>
      <c r="E55">
        <v>11</v>
      </c>
    </row>
    <row r="56" spans="1:5" x14ac:dyDescent="0.25">
      <c r="A56">
        <v>36</v>
      </c>
      <c r="B56" s="1" t="s">
        <v>252</v>
      </c>
      <c r="C56">
        <v>5</v>
      </c>
      <c r="D56">
        <v>37.619999999999997</v>
      </c>
      <c r="E56">
        <v>11</v>
      </c>
    </row>
    <row r="57" spans="1:5" x14ac:dyDescent="0.25">
      <c r="A57">
        <v>56</v>
      </c>
      <c r="B57" s="1" t="s">
        <v>253</v>
      </c>
      <c r="C57">
        <v>4</v>
      </c>
      <c r="D57">
        <v>37.619999999999997</v>
      </c>
      <c r="E57">
        <v>11</v>
      </c>
    </row>
    <row r="58" spans="1:5" x14ac:dyDescent="0.25">
      <c r="A58">
        <v>12</v>
      </c>
      <c r="B58" s="1" t="s">
        <v>254</v>
      </c>
      <c r="C58">
        <v>3</v>
      </c>
      <c r="D58">
        <v>37.619999999999997</v>
      </c>
      <c r="E58">
        <v>11</v>
      </c>
    </row>
    <row r="59" spans="1:5" x14ac:dyDescent="0.25">
      <c r="A59">
        <v>35</v>
      </c>
      <c r="B59" s="1" t="s">
        <v>255</v>
      </c>
      <c r="C59">
        <v>4</v>
      </c>
      <c r="D59">
        <v>37.619999999999997</v>
      </c>
      <c r="E59">
        <v>11</v>
      </c>
    </row>
    <row r="60" spans="1:5" x14ac:dyDescent="0.25">
      <c r="A60">
        <v>59</v>
      </c>
      <c r="B60" s="1" t="s">
        <v>256</v>
      </c>
      <c r="C60">
        <v>3</v>
      </c>
      <c r="D60">
        <v>36.64</v>
      </c>
      <c r="E60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D63D-BD6B-41BA-87B8-4DF20F4AD285}">
  <dimension ref="A1:C41"/>
  <sheetViews>
    <sheetView topLeftCell="A22" workbookViewId="0">
      <selection activeCell="A29" sqref="A29:B41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13.5703125" bestFit="1" customWidth="1"/>
  </cols>
  <sheetData>
    <row r="1" spans="1:3" x14ac:dyDescent="0.25">
      <c r="A1" t="s">
        <v>257</v>
      </c>
      <c r="B1" t="s">
        <v>196</v>
      </c>
      <c r="C1" t="s">
        <v>197</v>
      </c>
    </row>
    <row r="2" spans="1:3" x14ac:dyDescent="0.25">
      <c r="A2" s="1" t="s">
        <v>258</v>
      </c>
      <c r="B2">
        <v>523.05999999999995</v>
      </c>
      <c r="C2">
        <v>1</v>
      </c>
    </row>
    <row r="3" spans="1:3" x14ac:dyDescent="0.25">
      <c r="A3" s="1" t="s">
        <v>259</v>
      </c>
      <c r="B3">
        <v>303.95999999999998</v>
      </c>
      <c r="C3">
        <v>2</v>
      </c>
    </row>
    <row r="4" spans="1:3" x14ac:dyDescent="0.25">
      <c r="A4" s="1" t="s">
        <v>260</v>
      </c>
      <c r="B4">
        <v>195.1</v>
      </c>
      <c r="C4">
        <v>3</v>
      </c>
    </row>
    <row r="5" spans="1:3" x14ac:dyDescent="0.25">
      <c r="A5" s="1" t="s">
        <v>261</v>
      </c>
      <c r="B5">
        <v>190.1</v>
      </c>
      <c r="C5">
        <v>4</v>
      </c>
    </row>
    <row r="6" spans="1:3" x14ac:dyDescent="0.25">
      <c r="A6" s="1" t="s">
        <v>262</v>
      </c>
      <c r="B6">
        <v>156.47999999999999</v>
      </c>
      <c r="C6">
        <v>5</v>
      </c>
    </row>
    <row r="7" spans="1:3" x14ac:dyDescent="0.25">
      <c r="A7" s="1" t="s">
        <v>263</v>
      </c>
      <c r="B7">
        <v>112.86</v>
      </c>
      <c r="C7">
        <v>6</v>
      </c>
    </row>
    <row r="8" spans="1:3" x14ac:dyDescent="0.25">
      <c r="A8" s="1" t="s">
        <v>264</v>
      </c>
      <c r="B8">
        <v>90.24</v>
      </c>
      <c r="C8">
        <v>7</v>
      </c>
    </row>
    <row r="9" spans="1:3" x14ac:dyDescent="0.25">
      <c r="A9" s="1" t="s">
        <v>265</v>
      </c>
      <c r="B9">
        <v>77.239999999999995</v>
      </c>
      <c r="C9">
        <v>8</v>
      </c>
    </row>
    <row r="10" spans="1:3" x14ac:dyDescent="0.25">
      <c r="A10" s="1" t="s">
        <v>266</v>
      </c>
      <c r="B10">
        <v>75.260000000000005</v>
      </c>
      <c r="C10">
        <v>9</v>
      </c>
    </row>
    <row r="11" spans="1:3" x14ac:dyDescent="0.25">
      <c r="A11" s="1" t="s">
        <v>267</v>
      </c>
      <c r="B11">
        <v>46.62</v>
      </c>
      <c r="C11">
        <v>10</v>
      </c>
    </row>
    <row r="12" spans="1:3" x14ac:dyDescent="0.25">
      <c r="A12" s="1" t="s">
        <v>268</v>
      </c>
      <c r="B12">
        <v>45.62</v>
      </c>
      <c r="C12">
        <v>11</v>
      </c>
    </row>
    <row r="13" spans="1:3" x14ac:dyDescent="0.25">
      <c r="A13" s="1" t="s">
        <v>269</v>
      </c>
      <c r="B13">
        <v>45.62</v>
      </c>
      <c r="C13">
        <v>11</v>
      </c>
    </row>
    <row r="14" spans="1:3" x14ac:dyDescent="0.25">
      <c r="A14" s="1" t="s">
        <v>270</v>
      </c>
      <c r="B14">
        <v>42.62</v>
      </c>
      <c r="C14">
        <v>12</v>
      </c>
    </row>
    <row r="15" spans="1:3" x14ac:dyDescent="0.25">
      <c r="A15" s="1" t="s">
        <v>271</v>
      </c>
      <c r="B15">
        <v>41.62</v>
      </c>
      <c r="C15">
        <v>13</v>
      </c>
    </row>
    <row r="16" spans="1:3" x14ac:dyDescent="0.25">
      <c r="A16" s="1" t="s">
        <v>272</v>
      </c>
      <c r="B16">
        <v>40.619999999999997</v>
      </c>
      <c r="C16">
        <v>14</v>
      </c>
    </row>
    <row r="17" spans="1:3" x14ac:dyDescent="0.25">
      <c r="A17" s="1" t="s">
        <v>273</v>
      </c>
      <c r="B17">
        <v>39.619999999999997</v>
      </c>
      <c r="C17">
        <v>15</v>
      </c>
    </row>
    <row r="18" spans="1:3" x14ac:dyDescent="0.25">
      <c r="A18" s="1" t="s">
        <v>274</v>
      </c>
      <c r="B18">
        <v>38.619999999999997</v>
      </c>
      <c r="C18">
        <v>16</v>
      </c>
    </row>
    <row r="19" spans="1:3" x14ac:dyDescent="0.25">
      <c r="A19" s="1" t="s">
        <v>275</v>
      </c>
      <c r="B19">
        <v>37.619999999999997</v>
      </c>
      <c r="C19">
        <v>17</v>
      </c>
    </row>
    <row r="20" spans="1:3" x14ac:dyDescent="0.25">
      <c r="A20" s="1" t="s">
        <v>276</v>
      </c>
      <c r="B20">
        <v>37.619999999999997</v>
      </c>
      <c r="C20">
        <v>17</v>
      </c>
    </row>
    <row r="21" spans="1:3" x14ac:dyDescent="0.25">
      <c r="A21" s="1" t="s">
        <v>277</v>
      </c>
      <c r="B21">
        <v>37.619999999999997</v>
      </c>
      <c r="C21">
        <v>17</v>
      </c>
    </row>
    <row r="22" spans="1:3" x14ac:dyDescent="0.25">
      <c r="A22" s="1" t="s">
        <v>278</v>
      </c>
      <c r="B22">
        <v>37.619999999999997</v>
      </c>
      <c r="C22">
        <v>17</v>
      </c>
    </row>
    <row r="23" spans="1:3" x14ac:dyDescent="0.25">
      <c r="A23" s="1" t="s">
        <v>279</v>
      </c>
      <c r="B23">
        <v>37.619999999999997</v>
      </c>
      <c r="C23">
        <v>17</v>
      </c>
    </row>
    <row r="24" spans="1:3" x14ac:dyDescent="0.25">
      <c r="A24" s="1" t="s">
        <v>280</v>
      </c>
      <c r="B24">
        <v>37.619999999999997</v>
      </c>
      <c r="C24">
        <v>17</v>
      </c>
    </row>
    <row r="25" spans="1:3" x14ac:dyDescent="0.25">
      <c r="A25" s="1" t="s">
        <v>281</v>
      </c>
      <c r="B25">
        <v>37.619999999999997</v>
      </c>
      <c r="C25">
        <v>17</v>
      </c>
    </row>
    <row r="29" spans="1:3" x14ac:dyDescent="0.25">
      <c r="A29" s="17" t="s">
        <v>404</v>
      </c>
      <c r="B29" s="17"/>
    </row>
    <row r="30" spans="1:3" x14ac:dyDescent="0.25">
      <c r="A30" s="8" t="s">
        <v>392</v>
      </c>
      <c r="B30" t="s">
        <v>394</v>
      </c>
    </row>
    <row r="31" spans="1:3" x14ac:dyDescent="0.25">
      <c r="A31" s="9" t="s">
        <v>258</v>
      </c>
      <c r="B31" s="1">
        <v>523.05999999999995</v>
      </c>
    </row>
    <row r="32" spans="1:3" x14ac:dyDescent="0.25">
      <c r="A32" s="9" t="s">
        <v>259</v>
      </c>
      <c r="B32" s="1">
        <v>303.95999999999998</v>
      </c>
    </row>
    <row r="33" spans="1:2" x14ac:dyDescent="0.25">
      <c r="A33" s="9" t="s">
        <v>260</v>
      </c>
      <c r="B33" s="1">
        <v>195.1</v>
      </c>
    </row>
    <row r="34" spans="1:2" x14ac:dyDescent="0.25">
      <c r="A34" s="9" t="s">
        <v>261</v>
      </c>
      <c r="B34" s="1">
        <v>190.1</v>
      </c>
    </row>
    <row r="35" spans="1:2" x14ac:dyDescent="0.25">
      <c r="A35" s="9" t="s">
        <v>262</v>
      </c>
      <c r="B35" s="1">
        <v>156.47999999999999</v>
      </c>
    </row>
    <row r="36" spans="1:2" x14ac:dyDescent="0.25">
      <c r="A36" s="9" t="s">
        <v>263</v>
      </c>
      <c r="B36" s="1">
        <v>112.86</v>
      </c>
    </row>
    <row r="37" spans="1:2" x14ac:dyDescent="0.25">
      <c r="A37" s="9" t="s">
        <v>264</v>
      </c>
      <c r="B37" s="1">
        <v>90.24</v>
      </c>
    </row>
    <row r="38" spans="1:2" x14ac:dyDescent="0.25">
      <c r="A38" s="9" t="s">
        <v>265</v>
      </c>
      <c r="B38" s="1">
        <v>77.239999999999995</v>
      </c>
    </row>
    <row r="39" spans="1:2" x14ac:dyDescent="0.25">
      <c r="A39" s="9" t="s">
        <v>266</v>
      </c>
      <c r="B39" s="1">
        <v>75.260000000000005</v>
      </c>
    </row>
    <row r="40" spans="1:2" x14ac:dyDescent="0.25">
      <c r="A40" s="9" t="s">
        <v>267</v>
      </c>
      <c r="B40" s="1">
        <v>46.62</v>
      </c>
    </row>
    <row r="41" spans="1:2" x14ac:dyDescent="0.25">
      <c r="A41" s="9" t="s">
        <v>391</v>
      </c>
      <c r="B41" s="1">
        <v>1770.9199999999998</v>
      </c>
    </row>
  </sheetData>
  <mergeCells count="1">
    <mergeCell ref="A29:B29"/>
  </mergeCells>
  <conditionalFormatting sqref="B2:B25">
    <cfRule type="colorScale" priority="1">
      <colorScale>
        <cfvo type="min"/>
        <cfvo type="percentile" val="50"/>
        <cfvo type="max"/>
        <color rgb="FFF8696B"/>
        <color rgb="FFFFFF99"/>
        <color rgb="FF63BE7B"/>
      </colorScale>
    </cfRule>
    <cfRule type="colorScale" priority="4">
      <colorScale>
        <cfvo type="min"/>
        <cfvo type="max"/>
        <color rgb="FFF26C36"/>
        <color rgb="FF00B050"/>
      </colorScale>
    </cfRule>
  </conditionalFormatting>
  <conditionalFormatting sqref="D7">
    <cfRule type="colorScale" priority="2">
      <colorScale>
        <cfvo type="min"/>
        <cfvo type="percentile" val="50"/>
        <cfvo type="max"/>
        <color rgb="FFF8696B"/>
        <color rgb="FFFFFF99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D1F5-48D6-407A-B3C5-1532A2603893}">
  <dimension ref="A1:G125"/>
  <sheetViews>
    <sheetView topLeftCell="A106" workbookViewId="0">
      <selection activeCell="D118" sqref="D118"/>
    </sheetView>
  </sheetViews>
  <sheetFormatPr defaultRowHeight="15" x14ac:dyDescent="0.25"/>
  <cols>
    <col min="1" max="1" width="14.5703125" bestFit="1" customWidth="1"/>
    <col min="2" max="2" width="16.7109375" bestFit="1" customWidth="1"/>
    <col min="3" max="3" width="10.7109375" bestFit="1" customWidth="1"/>
    <col min="4" max="4" width="22.85546875" bestFit="1" customWidth="1"/>
    <col min="5" max="5" width="19.28515625" bestFit="1" customWidth="1"/>
  </cols>
  <sheetData>
    <row r="1" spans="1:7" x14ac:dyDescent="0.25">
      <c r="A1" t="s">
        <v>293</v>
      </c>
      <c r="B1" t="s">
        <v>294</v>
      </c>
      <c r="C1" t="s">
        <v>1</v>
      </c>
      <c r="D1" t="s">
        <v>295</v>
      </c>
      <c r="E1" t="s">
        <v>296</v>
      </c>
      <c r="F1" t="s">
        <v>396</v>
      </c>
      <c r="G1" t="s">
        <v>395</v>
      </c>
    </row>
    <row r="2" spans="1:7" x14ac:dyDescent="0.25">
      <c r="A2">
        <v>2021</v>
      </c>
      <c r="B2">
        <v>1</v>
      </c>
      <c r="C2">
        <v>35.64</v>
      </c>
      <c r="D2" s="1" t="s">
        <v>285</v>
      </c>
      <c r="E2" s="1" t="s">
        <v>285</v>
      </c>
      <c r="F2" s="10">
        <f>DATE(monthly_growth[[#This Row],[invoice_year]], monthly_growth[[#This Row],[invoice_month]],1)</f>
        <v>44197</v>
      </c>
      <c r="G2">
        <f>MONTH(monthly_growth[[#This Row],[invoice_month_c]])</f>
        <v>1</v>
      </c>
    </row>
    <row r="3" spans="1:7" x14ac:dyDescent="0.25">
      <c r="A3">
        <v>2021</v>
      </c>
      <c r="B3">
        <v>2</v>
      </c>
      <c r="C3">
        <v>37.619999999999997</v>
      </c>
      <c r="D3" s="1" t="s">
        <v>297</v>
      </c>
      <c r="E3" s="1" t="s">
        <v>298</v>
      </c>
      <c r="F3" s="10">
        <f>DATE(monthly_growth[[#This Row],[invoice_year]], monthly_growth[[#This Row],[invoice_month]],1)</f>
        <v>44228</v>
      </c>
      <c r="G3">
        <f>MONTH(monthly_growth[[#This Row],[invoice_month_c]])</f>
        <v>2</v>
      </c>
    </row>
    <row r="4" spans="1:7" x14ac:dyDescent="0.25">
      <c r="A4">
        <v>2021</v>
      </c>
      <c r="B4">
        <v>3</v>
      </c>
      <c r="C4">
        <v>37.619999999999997</v>
      </c>
      <c r="D4" s="1" t="s">
        <v>299</v>
      </c>
      <c r="E4" s="1" t="s">
        <v>300</v>
      </c>
      <c r="F4" s="10">
        <f>DATE(monthly_growth[[#This Row],[invoice_year]], monthly_growth[[#This Row],[invoice_month]],1)</f>
        <v>44256</v>
      </c>
      <c r="G4">
        <f>MONTH(monthly_growth[[#This Row],[invoice_month_c]])</f>
        <v>3</v>
      </c>
    </row>
    <row r="5" spans="1:7" x14ac:dyDescent="0.25">
      <c r="A5">
        <v>2021</v>
      </c>
      <c r="B5">
        <v>4</v>
      </c>
      <c r="C5">
        <v>37.619999999999997</v>
      </c>
      <c r="D5" s="1" t="s">
        <v>299</v>
      </c>
      <c r="E5" s="1" t="s">
        <v>300</v>
      </c>
      <c r="F5" s="10">
        <f>DATE(monthly_growth[[#This Row],[invoice_year]], monthly_growth[[#This Row],[invoice_month]],1)</f>
        <v>44287</v>
      </c>
      <c r="G5">
        <f>MONTH(monthly_growth[[#This Row],[invoice_month_c]])</f>
        <v>4</v>
      </c>
    </row>
    <row r="6" spans="1:7" x14ac:dyDescent="0.25">
      <c r="A6">
        <v>2021</v>
      </c>
      <c r="B6">
        <v>5</v>
      </c>
      <c r="C6">
        <v>37.619999999999997</v>
      </c>
      <c r="D6" s="1" t="s">
        <v>299</v>
      </c>
      <c r="E6" s="1" t="s">
        <v>300</v>
      </c>
      <c r="F6" s="10">
        <f>DATE(monthly_growth[[#This Row],[invoice_year]], monthly_growth[[#This Row],[invoice_month]],1)</f>
        <v>44317</v>
      </c>
      <c r="G6">
        <f>MONTH(monthly_growth[[#This Row],[invoice_month_c]])</f>
        <v>5</v>
      </c>
    </row>
    <row r="7" spans="1:7" x14ac:dyDescent="0.25">
      <c r="A7">
        <v>2021</v>
      </c>
      <c r="B7">
        <v>6</v>
      </c>
      <c r="C7">
        <v>37.619999999999997</v>
      </c>
      <c r="D7" s="1" t="s">
        <v>299</v>
      </c>
      <c r="E7" s="1" t="s">
        <v>300</v>
      </c>
      <c r="F7" s="10">
        <f>DATE(monthly_growth[[#This Row],[invoice_year]], monthly_growth[[#This Row],[invoice_month]],1)</f>
        <v>44348</v>
      </c>
      <c r="G7">
        <f>MONTH(monthly_growth[[#This Row],[invoice_month_c]])</f>
        <v>6</v>
      </c>
    </row>
    <row r="8" spans="1:7" x14ac:dyDescent="0.25">
      <c r="A8">
        <v>2021</v>
      </c>
      <c r="B8">
        <v>7</v>
      </c>
      <c r="C8">
        <v>37.619999999999997</v>
      </c>
      <c r="D8" s="1" t="s">
        <v>299</v>
      </c>
      <c r="E8" s="1" t="s">
        <v>300</v>
      </c>
      <c r="F8" s="10">
        <f>DATE(monthly_growth[[#This Row],[invoice_year]], monthly_growth[[#This Row],[invoice_month]],1)</f>
        <v>44378</v>
      </c>
      <c r="G8">
        <f>MONTH(monthly_growth[[#This Row],[invoice_month_c]])</f>
        <v>7</v>
      </c>
    </row>
    <row r="9" spans="1:7" x14ac:dyDescent="0.25">
      <c r="A9">
        <v>2021</v>
      </c>
      <c r="B9">
        <v>8</v>
      </c>
      <c r="C9">
        <v>37.619999999999997</v>
      </c>
      <c r="D9" s="1" t="s">
        <v>299</v>
      </c>
      <c r="E9" s="1" t="s">
        <v>300</v>
      </c>
      <c r="F9" s="10">
        <f>DATE(monthly_growth[[#This Row],[invoice_year]], monthly_growth[[#This Row],[invoice_month]],1)</f>
        <v>44409</v>
      </c>
      <c r="G9">
        <f>MONTH(monthly_growth[[#This Row],[invoice_month_c]])</f>
        <v>8</v>
      </c>
    </row>
    <row r="10" spans="1:7" x14ac:dyDescent="0.25">
      <c r="A10">
        <v>2021</v>
      </c>
      <c r="B10">
        <v>9</v>
      </c>
      <c r="C10">
        <v>37.619999999999997</v>
      </c>
      <c r="D10" s="1" t="s">
        <v>299</v>
      </c>
      <c r="E10" s="1" t="s">
        <v>300</v>
      </c>
      <c r="F10" s="10">
        <f>DATE(monthly_growth[[#This Row],[invoice_year]], monthly_growth[[#This Row],[invoice_month]],1)</f>
        <v>44440</v>
      </c>
      <c r="G10">
        <f>MONTH(monthly_growth[[#This Row],[invoice_month_c]])</f>
        <v>9</v>
      </c>
    </row>
    <row r="11" spans="1:7" x14ac:dyDescent="0.25">
      <c r="A11">
        <v>2021</v>
      </c>
      <c r="B11">
        <v>10</v>
      </c>
      <c r="C11">
        <v>37.619999999999997</v>
      </c>
      <c r="D11" s="1" t="s">
        <v>299</v>
      </c>
      <c r="E11" s="1" t="s">
        <v>300</v>
      </c>
      <c r="F11" s="10">
        <f>DATE(monthly_growth[[#This Row],[invoice_year]], monthly_growth[[#This Row],[invoice_month]],1)</f>
        <v>44470</v>
      </c>
      <c r="G11">
        <f>MONTH(monthly_growth[[#This Row],[invoice_month_c]])</f>
        <v>10</v>
      </c>
    </row>
    <row r="12" spans="1:7" x14ac:dyDescent="0.25">
      <c r="A12">
        <v>2021</v>
      </c>
      <c r="B12">
        <v>11</v>
      </c>
      <c r="C12">
        <v>37.619999999999997</v>
      </c>
      <c r="D12" s="1" t="s">
        <v>299</v>
      </c>
      <c r="E12" s="1" t="s">
        <v>300</v>
      </c>
      <c r="F12" s="10">
        <f>DATE(monthly_growth[[#This Row],[invoice_year]], monthly_growth[[#This Row],[invoice_month]],1)</f>
        <v>44501</v>
      </c>
      <c r="G12">
        <f>MONTH(monthly_growth[[#This Row],[invoice_month_c]])</f>
        <v>11</v>
      </c>
    </row>
    <row r="13" spans="1:7" x14ac:dyDescent="0.25">
      <c r="A13">
        <v>2021</v>
      </c>
      <c r="B13">
        <v>12</v>
      </c>
      <c r="C13">
        <v>37.619999999999997</v>
      </c>
      <c r="D13" s="1" t="s">
        <v>299</v>
      </c>
      <c r="E13" s="1" t="s">
        <v>300</v>
      </c>
      <c r="F13" s="10">
        <f>DATE(monthly_growth[[#This Row],[invoice_year]], monthly_growth[[#This Row],[invoice_month]],1)</f>
        <v>44531</v>
      </c>
      <c r="G13">
        <f>MONTH(monthly_growth[[#This Row],[invoice_month_c]])</f>
        <v>12</v>
      </c>
    </row>
    <row r="14" spans="1:7" x14ac:dyDescent="0.25">
      <c r="A14">
        <v>2022</v>
      </c>
      <c r="B14">
        <v>1</v>
      </c>
      <c r="C14">
        <v>52.62</v>
      </c>
      <c r="D14" s="1" t="s">
        <v>299</v>
      </c>
      <c r="E14" s="1" t="s">
        <v>301</v>
      </c>
      <c r="F14" s="10">
        <f>DATE(monthly_growth[[#This Row],[invoice_year]], monthly_growth[[#This Row],[invoice_month]],1)</f>
        <v>44562</v>
      </c>
      <c r="G14">
        <f>MONTH(monthly_growth[[#This Row],[invoice_month_c]])</f>
        <v>1</v>
      </c>
    </row>
    <row r="15" spans="1:7" x14ac:dyDescent="0.25">
      <c r="A15">
        <v>2022</v>
      </c>
      <c r="B15">
        <v>2</v>
      </c>
      <c r="C15">
        <v>46.62</v>
      </c>
      <c r="D15" s="1" t="s">
        <v>302</v>
      </c>
      <c r="E15" s="1" t="s">
        <v>303</v>
      </c>
      <c r="F15" s="10">
        <f>DATE(monthly_growth[[#This Row],[invoice_year]], monthly_growth[[#This Row],[invoice_month]],1)</f>
        <v>44593</v>
      </c>
      <c r="G15">
        <f>MONTH(monthly_growth[[#This Row],[invoice_month_c]])</f>
        <v>2</v>
      </c>
    </row>
    <row r="16" spans="1:7" x14ac:dyDescent="0.25">
      <c r="A16">
        <v>2022</v>
      </c>
      <c r="B16">
        <v>3</v>
      </c>
      <c r="C16">
        <v>44.62</v>
      </c>
      <c r="D16" s="1" t="s">
        <v>304</v>
      </c>
      <c r="E16" s="1" t="s">
        <v>305</v>
      </c>
      <c r="F16" s="10">
        <f>DATE(monthly_growth[[#This Row],[invoice_year]], monthly_growth[[#This Row],[invoice_month]],1)</f>
        <v>44621</v>
      </c>
      <c r="G16">
        <f>MONTH(monthly_growth[[#This Row],[invoice_month_c]])</f>
        <v>3</v>
      </c>
    </row>
    <row r="17" spans="1:7" x14ac:dyDescent="0.25">
      <c r="A17">
        <v>2022</v>
      </c>
      <c r="B17">
        <v>4</v>
      </c>
      <c r="C17">
        <v>37.619999999999997</v>
      </c>
      <c r="D17" s="1" t="s">
        <v>306</v>
      </c>
      <c r="E17" s="1" t="s">
        <v>307</v>
      </c>
      <c r="F17" s="10">
        <f>DATE(monthly_growth[[#This Row],[invoice_year]], monthly_growth[[#This Row],[invoice_month]],1)</f>
        <v>44652</v>
      </c>
      <c r="G17">
        <f>MONTH(monthly_growth[[#This Row],[invoice_month_c]])</f>
        <v>4</v>
      </c>
    </row>
    <row r="18" spans="1:7" x14ac:dyDescent="0.25">
      <c r="A18">
        <v>2022</v>
      </c>
      <c r="B18">
        <v>5</v>
      </c>
      <c r="C18">
        <v>37.619999999999997</v>
      </c>
      <c r="D18" s="1" t="s">
        <v>299</v>
      </c>
      <c r="E18" s="1" t="s">
        <v>300</v>
      </c>
      <c r="F18" s="10">
        <f>DATE(monthly_growth[[#This Row],[invoice_year]], monthly_growth[[#This Row],[invoice_month]],1)</f>
        <v>44682</v>
      </c>
      <c r="G18">
        <f>MONTH(monthly_growth[[#This Row],[invoice_month_c]])</f>
        <v>5</v>
      </c>
    </row>
    <row r="19" spans="1:7" x14ac:dyDescent="0.25">
      <c r="A19">
        <v>2022</v>
      </c>
      <c r="B19">
        <v>6</v>
      </c>
      <c r="C19">
        <v>37.619999999999997</v>
      </c>
      <c r="D19" s="1" t="s">
        <v>299</v>
      </c>
      <c r="E19" s="1" t="s">
        <v>300</v>
      </c>
      <c r="F19" s="10">
        <f>DATE(monthly_growth[[#This Row],[invoice_year]], monthly_growth[[#This Row],[invoice_month]],1)</f>
        <v>44713</v>
      </c>
      <c r="G19">
        <f>MONTH(monthly_growth[[#This Row],[invoice_month_c]])</f>
        <v>6</v>
      </c>
    </row>
    <row r="20" spans="1:7" x14ac:dyDescent="0.25">
      <c r="A20">
        <v>2022</v>
      </c>
      <c r="B20">
        <v>7</v>
      </c>
      <c r="C20">
        <v>37.619999999999997</v>
      </c>
      <c r="D20" s="1" t="s">
        <v>299</v>
      </c>
      <c r="E20" s="1" t="s">
        <v>300</v>
      </c>
      <c r="F20" s="10">
        <f>DATE(monthly_growth[[#This Row],[invoice_year]], monthly_growth[[#This Row],[invoice_month]],1)</f>
        <v>44743</v>
      </c>
      <c r="G20">
        <f>MONTH(monthly_growth[[#This Row],[invoice_month_c]])</f>
        <v>7</v>
      </c>
    </row>
    <row r="21" spans="1:7" x14ac:dyDescent="0.25">
      <c r="A21">
        <v>2022</v>
      </c>
      <c r="B21">
        <v>8</v>
      </c>
      <c r="C21">
        <v>37.619999999999997</v>
      </c>
      <c r="D21" s="1" t="s">
        <v>299</v>
      </c>
      <c r="E21" s="1" t="s">
        <v>300</v>
      </c>
      <c r="F21" s="10">
        <f>DATE(monthly_growth[[#This Row],[invoice_year]], monthly_growth[[#This Row],[invoice_month]],1)</f>
        <v>44774</v>
      </c>
      <c r="G21">
        <f>MONTH(monthly_growth[[#This Row],[invoice_month_c]])</f>
        <v>8</v>
      </c>
    </row>
    <row r="22" spans="1:7" x14ac:dyDescent="0.25">
      <c r="A22">
        <v>2022</v>
      </c>
      <c r="B22">
        <v>9</v>
      </c>
      <c r="C22">
        <v>36.630000000000003</v>
      </c>
      <c r="D22" s="1" t="s">
        <v>299</v>
      </c>
      <c r="E22" s="1" t="s">
        <v>308</v>
      </c>
      <c r="F22" s="10">
        <f>DATE(monthly_growth[[#This Row],[invoice_year]], monthly_growth[[#This Row],[invoice_month]],1)</f>
        <v>44805</v>
      </c>
      <c r="G22">
        <f>MONTH(monthly_growth[[#This Row],[invoice_month_c]])</f>
        <v>9</v>
      </c>
    </row>
    <row r="23" spans="1:7" x14ac:dyDescent="0.25">
      <c r="A23">
        <v>2022</v>
      </c>
      <c r="B23">
        <v>10</v>
      </c>
      <c r="C23">
        <v>37.619999999999997</v>
      </c>
      <c r="D23" s="1" t="s">
        <v>309</v>
      </c>
      <c r="E23" s="1" t="s">
        <v>310</v>
      </c>
      <c r="F23" s="10">
        <f>DATE(monthly_growth[[#This Row],[invoice_year]], monthly_growth[[#This Row],[invoice_month]],1)</f>
        <v>44835</v>
      </c>
      <c r="G23">
        <f>MONTH(monthly_growth[[#This Row],[invoice_month_c]])</f>
        <v>10</v>
      </c>
    </row>
    <row r="24" spans="1:7" x14ac:dyDescent="0.25">
      <c r="A24">
        <v>2022</v>
      </c>
      <c r="B24">
        <v>11</v>
      </c>
      <c r="C24">
        <v>37.619999999999997</v>
      </c>
      <c r="D24" s="1" t="s">
        <v>299</v>
      </c>
      <c r="E24" s="1" t="s">
        <v>300</v>
      </c>
      <c r="F24" s="10">
        <f>DATE(monthly_growth[[#This Row],[invoice_year]], monthly_growth[[#This Row],[invoice_month]],1)</f>
        <v>44866</v>
      </c>
      <c r="G24">
        <f>MONTH(monthly_growth[[#This Row],[invoice_month_c]])</f>
        <v>11</v>
      </c>
    </row>
    <row r="25" spans="1:7" x14ac:dyDescent="0.25">
      <c r="A25">
        <v>2022</v>
      </c>
      <c r="B25">
        <v>12</v>
      </c>
      <c r="C25">
        <v>37.619999999999997</v>
      </c>
      <c r="D25" s="1" t="s">
        <v>299</v>
      </c>
      <c r="E25" s="1" t="s">
        <v>300</v>
      </c>
      <c r="F25" s="10">
        <f>DATE(monthly_growth[[#This Row],[invoice_year]], monthly_growth[[#This Row],[invoice_month]],1)</f>
        <v>44896</v>
      </c>
      <c r="G25">
        <f>MONTH(monthly_growth[[#This Row],[invoice_month_c]])</f>
        <v>12</v>
      </c>
    </row>
    <row r="26" spans="1:7" x14ac:dyDescent="0.25">
      <c r="A26">
        <v>2023</v>
      </c>
      <c r="B26">
        <v>1</v>
      </c>
      <c r="C26">
        <v>37.619999999999997</v>
      </c>
      <c r="D26" s="1" t="s">
        <v>299</v>
      </c>
      <c r="E26" s="1" t="s">
        <v>300</v>
      </c>
      <c r="F26" s="10">
        <f>DATE(monthly_growth[[#This Row],[invoice_year]], monthly_growth[[#This Row],[invoice_month]],1)</f>
        <v>44927</v>
      </c>
      <c r="G26">
        <f>MONTH(monthly_growth[[#This Row],[invoice_month_c]])</f>
        <v>1</v>
      </c>
    </row>
    <row r="27" spans="1:7" x14ac:dyDescent="0.25">
      <c r="A27">
        <v>2023</v>
      </c>
      <c r="B27">
        <v>2</v>
      </c>
      <c r="C27">
        <v>37.619999999999997</v>
      </c>
      <c r="D27" s="1" t="s">
        <v>299</v>
      </c>
      <c r="E27" s="1" t="s">
        <v>300</v>
      </c>
      <c r="F27" s="10">
        <f>DATE(monthly_growth[[#This Row],[invoice_year]], monthly_growth[[#This Row],[invoice_month]],1)</f>
        <v>44958</v>
      </c>
      <c r="G27">
        <f>MONTH(monthly_growth[[#This Row],[invoice_month_c]])</f>
        <v>2</v>
      </c>
    </row>
    <row r="28" spans="1:7" x14ac:dyDescent="0.25">
      <c r="A28">
        <v>2023</v>
      </c>
      <c r="B28">
        <v>3</v>
      </c>
      <c r="C28">
        <v>37.619999999999997</v>
      </c>
      <c r="D28" s="1" t="s">
        <v>299</v>
      </c>
      <c r="E28" s="1" t="s">
        <v>300</v>
      </c>
      <c r="F28" s="10">
        <f>DATE(monthly_growth[[#This Row],[invoice_year]], monthly_growth[[#This Row],[invoice_month]],1)</f>
        <v>44986</v>
      </c>
      <c r="G28">
        <f>MONTH(monthly_growth[[#This Row],[invoice_month_c]])</f>
        <v>3</v>
      </c>
    </row>
    <row r="29" spans="1:7" x14ac:dyDescent="0.25">
      <c r="A29">
        <v>2023</v>
      </c>
      <c r="B29">
        <v>4</v>
      </c>
      <c r="C29">
        <v>51.62</v>
      </c>
      <c r="D29" s="1" t="s">
        <v>299</v>
      </c>
      <c r="E29" s="1" t="s">
        <v>311</v>
      </c>
      <c r="F29" s="10">
        <f>DATE(monthly_growth[[#This Row],[invoice_year]], monthly_growth[[#This Row],[invoice_month]],1)</f>
        <v>45017</v>
      </c>
      <c r="G29">
        <f>MONTH(monthly_growth[[#This Row],[invoice_month_c]])</f>
        <v>4</v>
      </c>
    </row>
    <row r="30" spans="1:7" x14ac:dyDescent="0.25">
      <c r="A30">
        <v>2023</v>
      </c>
      <c r="B30">
        <v>5</v>
      </c>
      <c r="C30">
        <v>42.62</v>
      </c>
      <c r="D30" s="1" t="s">
        <v>312</v>
      </c>
      <c r="E30" s="1" t="s">
        <v>313</v>
      </c>
      <c r="F30" s="10">
        <f>DATE(monthly_growth[[#This Row],[invoice_year]], monthly_growth[[#This Row],[invoice_month]],1)</f>
        <v>45047</v>
      </c>
      <c r="G30">
        <f>MONTH(monthly_growth[[#This Row],[invoice_month_c]])</f>
        <v>5</v>
      </c>
    </row>
    <row r="31" spans="1:7" x14ac:dyDescent="0.25">
      <c r="A31">
        <v>2023</v>
      </c>
      <c r="B31">
        <v>6</v>
      </c>
      <c r="C31">
        <v>50.62</v>
      </c>
      <c r="D31" s="1" t="s">
        <v>314</v>
      </c>
      <c r="E31" s="1" t="s">
        <v>315</v>
      </c>
      <c r="F31" s="10">
        <f>DATE(monthly_growth[[#This Row],[invoice_year]], monthly_growth[[#This Row],[invoice_month]],1)</f>
        <v>45078</v>
      </c>
      <c r="G31">
        <f>MONTH(monthly_growth[[#This Row],[invoice_month_c]])</f>
        <v>6</v>
      </c>
    </row>
    <row r="32" spans="1:7" x14ac:dyDescent="0.25">
      <c r="A32">
        <v>2023</v>
      </c>
      <c r="B32">
        <v>7</v>
      </c>
      <c r="C32">
        <v>37.619999999999997</v>
      </c>
      <c r="D32" s="1" t="s">
        <v>316</v>
      </c>
      <c r="E32" s="1" t="s">
        <v>317</v>
      </c>
      <c r="F32" s="10">
        <f>DATE(monthly_growth[[#This Row],[invoice_year]], monthly_growth[[#This Row],[invoice_month]],1)</f>
        <v>45108</v>
      </c>
      <c r="G32">
        <f>MONTH(monthly_growth[[#This Row],[invoice_month_c]])</f>
        <v>7</v>
      </c>
    </row>
    <row r="33" spans="1:7" x14ac:dyDescent="0.25">
      <c r="A33">
        <v>2023</v>
      </c>
      <c r="B33">
        <v>8</v>
      </c>
      <c r="C33">
        <v>37.619999999999997</v>
      </c>
      <c r="D33" s="1" t="s">
        <v>299</v>
      </c>
      <c r="E33" s="1" t="s">
        <v>300</v>
      </c>
      <c r="F33" s="10">
        <f>DATE(monthly_growth[[#This Row],[invoice_year]], monthly_growth[[#This Row],[invoice_month]],1)</f>
        <v>45139</v>
      </c>
      <c r="G33">
        <f>MONTH(monthly_growth[[#This Row],[invoice_month_c]])</f>
        <v>8</v>
      </c>
    </row>
    <row r="34" spans="1:7" x14ac:dyDescent="0.25">
      <c r="A34">
        <v>2023</v>
      </c>
      <c r="B34">
        <v>9</v>
      </c>
      <c r="C34">
        <v>37.619999999999997</v>
      </c>
      <c r="D34" s="1" t="s">
        <v>299</v>
      </c>
      <c r="E34" s="1" t="s">
        <v>300</v>
      </c>
      <c r="F34" s="10">
        <f>DATE(monthly_growth[[#This Row],[invoice_year]], monthly_growth[[#This Row],[invoice_month]],1)</f>
        <v>45170</v>
      </c>
      <c r="G34">
        <f>MONTH(monthly_growth[[#This Row],[invoice_month_c]])</f>
        <v>9</v>
      </c>
    </row>
    <row r="35" spans="1:7" x14ac:dyDescent="0.25">
      <c r="A35">
        <v>2023</v>
      </c>
      <c r="B35">
        <v>10</v>
      </c>
      <c r="C35">
        <v>37.619999999999997</v>
      </c>
      <c r="D35" s="1" t="s">
        <v>299</v>
      </c>
      <c r="E35" s="1" t="s">
        <v>300</v>
      </c>
      <c r="F35" s="10">
        <f>DATE(monthly_growth[[#This Row],[invoice_year]], monthly_growth[[#This Row],[invoice_month]],1)</f>
        <v>45200</v>
      </c>
      <c r="G35">
        <f>MONTH(monthly_growth[[#This Row],[invoice_month_c]])</f>
        <v>10</v>
      </c>
    </row>
    <row r="36" spans="1:7" x14ac:dyDescent="0.25">
      <c r="A36">
        <v>2023</v>
      </c>
      <c r="B36">
        <v>11</v>
      </c>
      <c r="C36">
        <v>23.76</v>
      </c>
      <c r="D36" s="1" t="s">
        <v>299</v>
      </c>
      <c r="E36" s="1" t="s">
        <v>318</v>
      </c>
      <c r="F36" s="10">
        <f>DATE(monthly_growth[[#This Row],[invoice_year]], monthly_growth[[#This Row],[invoice_month]],1)</f>
        <v>45231</v>
      </c>
      <c r="G36">
        <f>MONTH(monthly_growth[[#This Row],[invoice_month_c]])</f>
        <v>11</v>
      </c>
    </row>
    <row r="37" spans="1:7" x14ac:dyDescent="0.25">
      <c r="A37">
        <v>2023</v>
      </c>
      <c r="B37">
        <v>12</v>
      </c>
      <c r="C37">
        <v>37.619999999999997</v>
      </c>
      <c r="D37" s="1" t="s">
        <v>319</v>
      </c>
      <c r="E37" s="1" t="s">
        <v>320</v>
      </c>
      <c r="F37" s="10">
        <f>DATE(monthly_growth[[#This Row],[invoice_year]], monthly_growth[[#This Row],[invoice_month]],1)</f>
        <v>45261</v>
      </c>
      <c r="G37">
        <f>MONTH(monthly_growth[[#This Row],[invoice_month_c]])</f>
        <v>12</v>
      </c>
    </row>
    <row r="38" spans="1:7" x14ac:dyDescent="0.25">
      <c r="A38">
        <v>2024</v>
      </c>
      <c r="B38">
        <v>1</v>
      </c>
      <c r="C38">
        <v>37.619999999999997</v>
      </c>
      <c r="D38" s="1" t="s">
        <v>299</v>
      </c>
      <c r="E38" s="1" t="s">
        <v>300</v>
      </c>
      <c r="F38" s="10">
        <f>DATE(monthly_growth[[#This Row],[invoice_year]], monthly_growth[[#This Row],[invoice_month]],1)</f>
        <v>45292</v>
      </c>
      <c r="G38">
        <f>MONTH(monthly_growth[[#This Row],[invoice_month_c]])</f>
        <v>1</v>
      </c>
    </row>
    <row r="39" spans="1:7" x14ac:dyDescent="0.25">
      <c r="A39">
        <v>2024</v>
      </c>
      <c r="B39">
        <v>2</v>
      </c>
      <c r="C39">
        <v>37.619999999999997</v>
      </c>
      <c r="D39" s="1" t="s">
        <v>299</v>
      </c>
      <c r="E39" s="1" t="s">
        <v>300</v>
      </c>
      <c r="F39" s="10">
        <f>DATE(monthly_growth[[#This Row],[invoice_year]], monthly_growth[[#This Row],[invoice_month]],1)</f>
        <v>45323</v>
      </c>
      <c r="G39">
        <f>MONTH(monthly_growth[[#This Row],[invoice_month_c]])</f>
        <v>2</v>
      </c>
    </row>
    <row r="40" spans="1:7" x14ac:dyDescent="0.25">
      <c r="A40">
        <v>2024</v>
      </c>
      <c r="B40">
        <v>3</v>
      </c>
      <c r="C40">
        <v>37.619999999999997</v>
      </c>
      <c r="D40" s="1" t="s">
        <v>299</v>
      </c>
      <c r="E40" s="1" t="s">
        <v>300</v>
      </c>
      <c r="F40" s="10">
        <f>DATE(monthly_growth[[#This Row],[invoice_year]], monthly_growth[[#This Row],[invoice_month]],1)</f>
        <v>45352</v>
      </c>
      <c r="G40">
        <f>MONTH(monthly_growth[[#This Row],[invoice_month_c]])</f>
        <v>3</v>
      </c>
    </row>
    <row r="41" spans="1:7" x14ac:dyDescent="0.25">
      <c r="A41">
        <v>2024</v>
      </c>
      <c r="B41">
        <v>4</v>
      </c>
      <c r="C41">
        <v>37.619999999999997</v>
      </c>
      <c r="D41" s="1" t="s">
        <v>299</v>
      </c>
      <c r="E41" s="1" t="s">
        <v>300</v>
      </c>
      <c r="F41" s="10">
        <f>DATE(monthly_growth[[#This Row],[invoice_year]], monthly_growth[[#This Row],[invoice_month]],1)</f>
        <v>45383</v>
      </c>
      <c r="G41">
        <f>MONTH(monthly_growth[[#This Row],[invoice_month_c]])</f>
        <v>4</v>
      </c>
    </row>
    <row r="42" spans="1:7" x14ac:dyDescent="0.25">
      <c r="A42">
        <v>2024</v>
      </c>
      <c r="B42">
        <v>5</v>
      </c>
      <c r="C42">
        <v>37.619999999999997</v>
      </c>
      <c r="D42" s="1" t="s">
        <v>299</v>
      </c>
      <c r="E42" s="1" t="s">
        <v>300</v>
      </c>
      <c r="F42" s="10">
        <f>DATE(monthly_growth[[#This Row],[invoice_year]], monthly_growth[[#This Row],[invoice_month]],1)</f>
        <v>45413</v>
      </c>
      <c r="G42">
        <f>MONTH(monthly_growth[[#This Row],[invoice_month_c]])</f>
        <v>5</v>
      </c>
    </row>
    <row r="43" spans="1:7" x14ac:dyDescent="0.25">
      <c r="A43">
        <v>2024</v>
      </c>
      <c r="B43">
        <v>6</v>
      </c>
      <c r="C43">
        <v>37.619999999999997</v>
      </c>
      <c r="D43" s="1" t="s">
        <v>299</v>
      </c>
      <c r="E43" s="1" t="s">
        <v>300</v>
      </c>
      <c r="F43" s="10">
        <f>DATE(monthly_growth[[#This Row],[invoice_year]], monthly_growth[[#This Row],[invoice_month]],1)</f>
        <v>45444</v>
      </c>
      <c r="G43">
        <f>MONTH(monthly_growth[[#This Row],[invoice_month_c]])</f>
        <v>6</v>
      </c>
    </row>
    <row r="44" spans="1:7" x14ac:dyDescent="0.25">
      <c r="A44">
        <v>2024</v>
      </c>
      <c r="B44">
        <v>7</v>
      </c>
      <c r="C44">
        <v>39.619999999999997</v>
      </c>
      <c r="D44" s="1" t="s">
        <v>299</v>
      </c>
      <c r="E44" s="1" t="s">
        <v>321</v>
      </c>
      <c r="F44" s="10">
        <f>DATE(monthly_growth[[#This Row],[invoice_year]], monthly_growth[[#This Row],[invoice_month]],1)</f>
        <v>45474</v>
      </c>
      <c r="G44">
        <f>MONTH(monthly_growth[[#This Row],[invoice_month_c]])</f>
        <v>7</v>
      </c>
    </row>
    <row r="45" spans="1:7" x14ac:dyDescent="0.25">
      <c r="A45">
        <v>2024</v>
      </c>
      <c r="B45">
        <v>8</v>
      </c>
      <c r="C45">
        <v>47.62</v>
      </c>
      <c r="D45" s="1" t="s">
        <v>322</v>
      </c>
      <c r="E45" s="1" t="s">
        <v>323</v>
      </c>
      <c r="F45" s="10">
        <f>DATE(monthly_growth[[#This Row],[invoice_year]], monthly_growth[[#This Row],[invoice_month]],1)</f>
        <v>45505</v>
      </c>
      <c r="G45">
        <f>MONTH(monthly_growth[[#This Row],[invoice_month_c]])</f>
        <v>8</v>
      </c>
    </row>
    <row r="46" spans="1:7" x14ac:dyDescent="0.25">
      <c r="A46">
        <v>2024</v>
      </c>
      <c r="B46">
        <v>9</v>
      </c>
      <c r="C46">
        <v>46.71</v>
      </c>
      <c r="D46" s="1" t="s">
        <v>324</v>
      </c>
      <c r="E46" s="1" t="s">
        <v>325</v>
      </c>
      <c r="F46" s="10">
        <f>DATE(monthly_growth[[#This Row],[invoice_year]], monthly_growth[[#This Row],[invoice_month]],1)</f>
        <v>45536</v>
      </c>
      <c r="G46">
        <f>MONTH(monthly_growth[[#This Row],[invoice_month_c]])</f>
        <v>9</v>
      </c>
    </row>
    <row r="47" spans="1:7" x14ac:dyDescent="0.25">
      <c r="A47">
        <v>2024</v>
      </c>
      <c r="B47">
        <v>10</v>
      </c>
      <c r="C47">
        <v>42.62</v>
      </c>
      <c r="D47" s="1" t="s">
        <v>326</v>
      </c>
      <c r="E47" s="1" t="s">
        <v>327</v>
      </c>
      <c r="F47" s="10">
        <f>DATE(monthly_growth[[#This Row],[invoice_year]], monthly_growth[[#This Row],[invoice_month]],1)</f>
        <v>45566</v>
      </c>
      <c r="G47">
        <f>MONTH(monthly_growth[[#This Row],[invoice_month_c]])</f>
        <v>10</v>
      </c>
    </row>
    <row r="48" spans="1:7" x14ac:dyDescent="0.25">
      <c r="A48">
        <v>2024</v>
      </c>
      <c r="B48">
        <v>11</v>
      </c>
      <c r="C48">
        <v>37.619999999999997</v>
      </c>
      <c r="D48" s="1" t="s">
        <v>314</v>
      </c>
      <c r="E48" s="1" t="s">
        <v>328</v>
      </c>
      <c r="F48" s="10">
        <f>DATE(monthly_growth[[#This Row],[invoice_year]], monthly_growth[[#This Row],[invoice_month]],1)</f>
        <v>45597</v>
      </c>
      <c r="G48">
        <f>MONTH(monthly_growth[[#This Row],[invoice_month_c]])</f>
        <v>11</v>
      </c>
    </row>
    <row r="49" spans="1:7" x14ac:dyDescent="0.25">
      <c r="A49">
        <v>2024</v>
      </c>
      <c r="B49">
        <v>12</v>
      </c>
      <c r="C49">
        <v>37.619999999999997</v>
      </c>
      <c r="D49" s="1" t="s">
        <v>299</v>
      </c>
      <c r="E49" s="1" t="s">
        <v>300</v>
      </c>
      <c r="F49" s="10">
        <f>DATE(monthly_growth[[#This Row],[invoice_year]], monthly_growth[[#This Row],[invoice_month]],1)</f>
        <v>45627</v>
      </c>
      <c r="G49">
        <f>MONTH(monthly_growth[[#This Row],[invoice_month_c]])</f>
        <v>12</v>
      </c>
    </row>
    <row r="50" spans="1:7" x14ac:dyDescent="0.25">
      <c r="A50">
        <v>2025</v>
      </c>
      <c r="B50">
        <v>1</v>
      </c>
      <c r="C50">
        <v>37.619999999999997</v>
      </c>
      <c r="D50" s="1" t="s">
        <v>299</v>
      </c>
      <c r="E50" s="1" t="s">
        <v>300</v>
      </c>
      <c r="F50" s="10">
        <f>DATE(monthly_growth[[#This Row],[invoice_year]], monthly_growth[[#This Row],[invoice_month]],1)</f>
        <v>45658</v>
      </c>
      <c r="G50">
        <f>MONTH(monthly_growth[[#This Row],[invoice_month_c]])</f>
        <v>1</v>
      </c>
    </row>
    <row r="51" spans="1:7" x14ac:dyDescent="0.25">
      <c r="A51">
        <v>2025</v>
      </c>
      <c r="B51">
        <v>2</v>
      </c>
      <c r="C51">
        <v>27.72</v>
      </c>
      <c r="D51" s="1" t="s">
        <v>299</v>
      </c>
      <c r="E51" s="1" t="s">
        <v>329</v>
      </c>
      <c r="F51" s="10">
        <f>DATE(monthly_growth[[#This Row],[invoice_year]], monthly_growth[[#This Row],[invoice_month]],1)</f>
        <v>45689</v>
      </c>
      <c r="G51">
        <f>MONTH(monthly_growth[[#This Row],[invoice_month_c]])</f>
        <v>2</v>
      </c>
    </row>
    <row r="52" spans="1:7" x14ac:dyDescent="0.25">
      <c r="A52">
        <v>2025</v>
      </c>
      <c r="B52">
        <v>3</v>
      </c>
      <c r="C52">
        <v>37.619999999999997</v>
      </c>
      <c r="D52" s="1" t="s">
        <v>330</v>
      </c>
      <c r="E52" s="1" t="s">
        <v>331</v>
      </c>
      <c r="F52" s="10">
        <f>DATE(monthly_growth[[#This Row],[invoice_year]], monthly_growth[[#This Row],[invoice_month]],1)</f>
        <v>45717</v>
      </c>
      <c r="G52">
        <f>MONTH(monthly_growth[[#This Row],[invoice_month_c]])</f>
        <v>3</v>
      </c>
    </row>
    <row r="53" spans="1:7" x14ac:dyDescent="0.25">
      <c r="A53">
        <v>2025</v>
      </c>
      <c r="B53">
        <v>4</v>
      </c>
      <c r="C53">
        <v>33.659999999999997</v>
      </c>
      <c r="D53" s="1" t="s">
        <v>299</v>
      </c>
      <c r="E53" s="1" t="s">
        <v>332</v>
      </c>
      <c r="F53" s="10">
        <f>DATE(monthly_growth[[#This Row],[invoice_year]], monthly_growth[[#This Row],[invoice_month]],1)</f>
        <v>45748</v>
      </c>
      <c r="G53">
        <f>MONTH(monthly_growth[[#This Row],[invoice_month_c]])</f>
        <v>4</v>
      </c>
    </row>
    <row r="54" spans="1:7" x14ac:dyDescent="0.25">
      <c r="A54">
        <v>2025</v>
      </c>
      <c r="B54">
        <v>5</v>
      </c>
      <c r="C54">
        <v>37.619999999999997</v>
      </c>
      <c r="D54" s="1" t="s">
        <v>333</v>
      </c>
      <c r="E54" s="1" t="s">
        <v>334</v>
      </c>
      <c r="F54" s="10">
        <f>DATE(monthly_growth[[#This Row],[invoice_year]], monthly_growth[[#This Row],[invoice_month]],1)</f>
        <v>45778</v>
      </c>
      <c r="G54">
        <f>MONTH(monthly_growth[[#This Row],[invoice_month_c]])</f>
        <v>5</v>
      </c>
    </row>
    <row r="55" spans="1:7" x14ac:dyDescent="0.25">
      <c r="A55">
        <v>2025</v>
      </c>
      <c r="B55">
        <v>6</v>
      </c>
      <c r="C55">
        <v>37.619999999999997</v>
      </c>
      <c r="D55" s="1" t="s">
        <v>299</v>
      </c>
      <c r="E55" s="1" t="s">
        <v>300</v>
      </c>
      <c r="F55" s="10">
        <f>DATE(monthly_growth[[#This Row],[invoice_year]], monthly_growth[[#This Row],[invoice_month]],1)</f>
        <v>45809</v>
      </c>
      <c r="G55">
        <f>MONTH(monthly_growth[[#This Row],[invoice_month_c]])</f>
        <v>6</v>
      </c>
    </row>
    <row r="56" spans="1:7" x14ac:dyDescent="0.25">
      <c r="A56">
        <v>2025</v>
      </c>
      <c r="B56">
        <v>7</v>
      </c>
      <c r="C56">
        <v>37.619999999999997</v>
      </c>
      <c r="D56" s="1" t="s">
        <v>299</v>
      </c>
      <c r="E56" s="1" t="s">
        <v>300</v>
      </c>
      <c r="F56" s="10">
        <f>DATE(monthly_growth[[#This Row],[invoice_year]], monthly_growth[[#This Row],[invoice_month]],1)</f>
        <v>45839</v>
      </c>
      <c r="G56">
        <f>MONTH(monthly_growth[[#This Row],[invoice_month_c]])</f>
        <v>7</v>
      </c>
    </row>
    <row r="57" spans="1:7" x14ac:dyDescent="0.25">
      <c r="A57">
        <v>2025</v>
      </c>
      <c r="B57">
        <v>8</v>
      </c>
      <c r="C57">
        <v>37.619999999999997</v>
      </c>
      <c r="D57" s="1" t="s">
        <v>299</v>
      </c>
      <c r="E57" s="1" t="s">
        <v>300</v>
      </c>
      <c r="F57" s="10">
        <f>DATE(monthly_growth[[#This Row],[invoice_year]], monthly_growth[[#This Row],[invoice_month]],1)</f>
        <v>45870</v>
      </c>
      <c r="G57">
        <f>MONTH(monthly_growth[[#This Row],[invoice_month_c]])</f>
        <v>8</v>
      </c>
    </row>
    <row r="58" spans="1:7" x14ac:dyDescent="0.25">
      <c r="A58">
        <v>2025</v>
      </c>
      <c r="B58">
        <v>9</v>
      </c>
      <c r="C58">
        <v>37.619999999999997</v>
      </c>
      <c r="D58" s="1" t="s">
        <v>299</v>
      </c>
      <c r="E58" s="1" t="s">
        <v>300</v>
      </c>
      <c r="F58" s="10">
        <f>DATE(monthly_growth[[#This Row],[invoice_year]], monthly_growth[[#This Row],[invoice_month]],1)</f>
        <v>45901</v>
      </c>
      <c r="G58">
        <f>MONTH(monthly_growth[[#This Row],[invoice_month_c]])</f>
        <v>9</v>
      </c>
    </row>
    <row r="59" spans="1:7" x14ac:dyDescent="0.25">
      <c r="A59">
        <v>2025</v>
      </c>
      <c r="B59">
        <v>10</v>
      </c>
      <c r="C59">
        <v>37.619999999999997</v>
      </c>
      <c r="D59" s="1" t="s">
        <v>299</v>
      </c>
      <c r="E59" s="1" t="s">
        <v>300</v>
      </c>
      <c r="F59" s="10">
        <f>DATE(monthly_growth[[#This Row],[invoice_year]], monthly_growth[[#This Row],[invoice_month]],1)</f>
        <v>45931</v>
      </c>
      <c r="G59">
        <f>MONTH(monthly_growth[[#This Row],[invoice_month_c]])</f>
        <v>10</v>
      </c>
    </row>
    <row r="60" spans="1:7" x14ac:dyDescent="0.25">
      <c r="A60">
        <v>2025</v>
      </c>
      <c r="B60">
        <v>11</v>
      </c>
      <c r="C60">
        <v>49.62</v>
      </c>
      <c r="D60" s="1" t="s">
        <v>299</v>
      </c>
      <c r="E60" s="1" t="s">
        <v>335</v>
      </c>
      <c r="F60" s="10">
        <f>DATE(monthly_growth[[#This Row],[invoice_year]], monthly_growth[[#This Row],[invoice_month]],1)</f>
        <v>45962</v>
      </c>
      <c r="G60">
        <f>MONTH(monthly_growth[[#This Row],[invoice_month_c]])</f>
        <v>11</v>
      </c>
    </row>
    <row r="61" spans="1:7" x14ac:dyDescent="0.25">
      <c r="A61">
        <v>2025</v>
      </c>
      <c r="B61">
        <v>12</v>
      </c>
      <c r="C61">
        <v>38.619999999999997</v>
      </c>
      <c r="D61" s="1" t="s">
        <v>336</v>
      </c>
      <c r="E61" s="1" t="s">
        <v>337</v>
      </c>
      <c r="F61" s="10">
        <f>DATE(monthly_growth[[#This Row],[invoice_year]], monthly_growth[[#This Row],[invoice_month]],1)</f>
        <v>45992</v>
      </c>
      <c r="G61">
        <f>MONTH(monthly_growth[[#This Row],[invoice_month_c]])</f>
        <v>12</v>
      </c>
    </row>
    <row r="64" spans="1:7" x14ac:dyDescent="0.25">
      <c r="A64" s="8" t="s">
        <v>392</v>
      </c>
      <c r="B64" t="s">
        <v>397</v>
      </c>
    </row>
    <row r="65" spans="1:2" x14ac:dyDescent="0.25">
      <c r="A65" s="11">
        <v>44197</v>
      </c>
      <c r="B65" s="1"/>
    </row>
    <row r="66" spans="1:2" x14ac:dyDescent="0.25">
      <c r="A66" s="11">
        <v>44228</v>
      </c>
      <c r="B66" s="1">
        <v>1.9799999999999969</v>
      </c>
    </row>
    <row r="67" spans="1:2" x14ac:dyDescent="0.25">
      <c r="A67" s="11">
        <v>44256</v>
      </c>
      <c r="B67" s="1">
        <v>0</v>
      </c>
    </row>
    <row r="68" spans="1:2" x14ac:dyDescent="0.25">
      <c r="A68" s="11">
        <v>44287</v>
      </c>
      <c r="B68" s="1">
        <v>0</v>
      </c>
    </row>
    <row r="69" spans="1:2" x14ac:dyDescent="0.25">
      <c r="A69" s="11">
        <v>44317</v>
      </c>
      <c r="B69" s="1">
        <v>0</v>
      </c>
    </row>
    <row r="70" spans="1:2" x14ac:dyDescent="0.25">
      <c r="A70" s="11">
        <v>44348</v>
      </c>
      <c r="B70" s="1">
        <v>0</v>
      </c>
    </row>
    <row r="71" spans="1:2" x14ac:dyDescent="0.25">
      <c r="A71" s="11">
        <v>44378</v>
      </c>
      <c r="B71" s="1">
        <v>0</v>
      </c>
    </row>
    <row r="72" spans="1:2" x14ac:dyDescent="0.25">
      <c r="A72" s="11">
        <v>44409</v>
      </c>
      <c r="B72" s="1">
        <v>0</v>
      </c>
    </row>
    <row r="73" spans="1:2" x14ac:dyDescent="0.25">
      <c r="A73" s="11">
        <v>44440</v>
      </c>
      <c r="B73" s="1">
        <v>0</v>
      </c>
    </row>
    <row r="74" spans="1:2" x14ac:dyDescent="0.25">
      <c r="A74" s="11">
        <v>44470</v>
      </c>
      <c r="B74" s="1">
        <v>0</v>
      </c>
    </row>
    <row r="75" spans="1:2" x14ac:dyDescent="0.25">
      <c r="A75" s="11">
        <v>44501</v>
      </c>
      <c r="B75" s="1">
        <v>0</v>
      </c>
    </row>
    <row r="76" spans="1:2" x14ac:dyDescent="0.25">
      <c r="A76" s="11">
        <v>44531</v>
      </c>
      <c r="B76" s="1">
        <v>0</v>
      </c>
    </row>
    <row r="77" spans="1:2" x14ac:dyDescent="0.25">
      <c r="A77" s="11">
        <v>44562</v>
      </c>
      <c r="B77" s="1">
        <v>15</v>
      </c>
    </row>
    <row r="78" spans="1:2" x14ac:dyDescent="0.25">
      <c r="A78" s="11">
        <v>44593</v>
      </c>
      <c r="B78" s="1">
        <v>-6</v>
      </c>
    </row>
    <row r="79" spans="1:2" x14ac:dyDescent="0.25">
      <c r="A79" s="11">
        <v>44621</v>
      </c>
      <c r="B79" s="1">
        <v>-2</v>
      </c>
    </row>
    <row r="80" spans="1:2" x14ac:dyDescent="0.25">
      <c r="A80" s="11">
        <v>44652</v>
      </c>
      <c r="B80" s="1">
        <v>-7</v>
      </c>
    </row>
    <row r="81" spans="1:2" x14ac:dyDescent="0.25">
      <c r="A81" s="11">
        <v>44682</v>
      </c>
      <c r="B81" s="1">
        <v>0</v>
      </c>
    </row>
    <row r="82" spans="1:2" x14ac:dyDescent="0.25">
      <c r="A82" s="11">
        <v>44713</v>
      </c>
      <c r="B82" s="1">
        <v>0</v>
      </c>
    </row>
    <row r="83" spans="1:2" x14ac:dyDescent="0.25">
      <c r="A83" s="11">
        <v>44743</v>
      </c>
      <c r="B83" s="1">
        <v>0</v>
      </c>
    </row>
    <row r="84" spans="1:2" x14ac:dyDescent="0.25">
      <c r="A84" s="11">
        <v>44774</v>
      </c>
      <c r="B84" s="1">
        <v>0</v>
      </c>
    </row>
    <row r="85" spans="1:2" x14ac:dyDescent="0.25">
      <c r="A85" s="11">
        <v>44805</v>
      </c>
      <c r="B85" s="1">
        <v>-0.98999999999999488</v>
      </c>
    </row>
    <row r="86" spans="1:2" x14ac:dyDescent="0.25">
      <c r="A86" s="11">
        <v>44835</v>
      </c>
      <c r="B86" s="1">
        <v>0.98999999999999488</v>
      </c>
    </row>
    <row r="87" spans="1:2" x14ac:dyDescent="0.25">
      <c r="A87" s="11">
        <v>44866</v>
      </c>
      <c r="B87" s="1">
        <v>0</v>
      </c>
    </row>
    <row r="88" spans="1:2" x14ac:dyDescent="0.25">
      <c r="A88" s="11">
        <v>44896</v>
      </c>
      <c r="B88" s="1">
        <v>0</v>
      </c>
    </row>
    <row r="89" spans="1:2" x14ac:dyDescent="0.25">
      <c r="A89" s="11">
        <v>44927</v>
      </c>
      <c r="B89" s="1">
        <v>0</v>
      </c>
    </row>
    <row r="90" spans="1:2" x14ac:dyDescent="0.25">
      <c r="A90" s="11">
        <v>44958</v>
      </c>
      <c r="B90" s="1">
        <v>0</v>
      </c>
    </row>
    <row r="91" spans="1:2" x14ac:dyDescent="0.25">
      <c r="A91" s="11">
        <v>44986</v>
      </c>
      <c r="B91" s="1">
        <v>0</v>
      </c>
    </row>
    <row r="92" spans="1:2" x14ac:dyDescent="0.25">
      <c r="A92" s="11">
        <v>45017</v>
      </c>
      <c r="B92" s="1">
        <v>14</v>
      </c>
    </row>
    <row r="93" spans="1:2" x14ac:dyDescent="0.25">
      <c r="A93" s="11">
        <v>45047</v>
      </c>
      <c r="B93" s="1">
        <v>-9</v>
      </c>
    </row>
    <row r="94" spans="1:2" x14ac:dyDescent="0.25">
      <c r="A94" s="11">
        <v>45078</v>
      </c>
      <c r="B94" s="1">
        <v>8</v>
      </c>
    </row>
    <row r="95" spans="1:2" x14ac:dyDescent="0.25">
      <c r="A95" s="11">
        <v>45108</v>
      </c>
      <c r="B95" s="1">
        <v>-13</v>
      </c>
    </row>
    <row r="96" spans="1:2" x14ac:dyDescent="0.25">
      <c r="A96" s="11">
        <v>45139</v>
      </c>
      <c r="B96" s="1">
        <v>0</v>
      </c>
    </row>
    <row r="97" spans="1:2" x14ac:dyDescent="0.25">
      <c r="A97" s="11">
        <v>45170</v>
      </c>
      <c r="B97" s="1">
        <v>0</v>
      </c>
    </row>
    <row r="98" spans="1:2" x14ac:dyDescent="0.25">
      <c r="A98" s="11">
        <v>45200</v>
      </c>
      <c r="B98" s="1">
        <v>0</v>
      </c>
    </row>
    <row r="99" spans="1:2" x14ac:dyDescent="0.25">
      <c r="A99" s="11">
        <v>45231</v>
      </c>
      <c r="B99" s="1">
        <v>-13.859999999999996</v>
      </c>
    </row>
    <row r="100" spans="1:2" x14ac:dyDescent="0.25">
      <c r="A100" s="11">
        <v>45261</v>
      </c>
      <c r="B100" s="1">
        <v>13.859999999999996</v>
      </c>
    </row>
    <row r="101" spans="1:2" x14ac:dyDescent="0.25">
      <c r="A101" s="11">
        <v>45292</v>
      </c>
      <c r="B101" s="1">
        <v>0</v>
      </c>
    </row>
    <row r="102" spans="1:2" x14ac:dyDescent="0.25">
      <c r="A102" s="11">
        <v>45323</v>
      </c>
      <c r="B102" s="1">
        <v>0</v>
      </c>
    </row>
    <row r="103" spans="1:2" x14ac:dyDescent="0.25">
      <c r="A103" s="11">
        <v>45352</v>
      </c>
      <c r="B103" s="1">
        <v>0</v>
      </c>
    </row>
    <row r="104" spans="1:2" x14ac:dyDescent="0.25">
      <c r="A104" s="11">
        <v>45383</v>
      </c>
      <c r="B104" s="1">
        <v>0</v>
      </c>
    </row>
    <row r="105" spans="1:2" x14ac:dyDescent="0.25">
      <c r="A105" s="11">
        <v>45413</v>
      </c>
      <c r="B105" s="1">
        <v>0</v>
      </c>
    </row>
    <row r="106" spans="1:2" x14ac:dyDescent="0.25">
      <c r="A106" s="11">
        <v>45444</v>
      </c>
      <c r="B106" s="1">
        <v>0</v>
      </c>
    </row>
    <row r="107" spans="1:2" x14ac:dyDescent="0.25">
      <c r="A107" s="11">
        <v>45474</v>
      </c>
      <c r="B107" s="1">
        <v>2</v>
      </c>
    </row>
    <row r="108" spans="1:2" x14ac:dyDescent="0.25">
      <c r="A108" s="11">
        <v>45505</v>
      </c>
      <c r="B108" s="1">
        <v>8</v>
      </c>
    </row>
    <row r="109" spans="1:2" x14ac:dyDescent="0.25">
      <c r="A109" s="11">
        <v>45536</v>
      </c>
      <c r="B109" s="1">
        <v>-0.90999999999999659</v>
      </c>
    </row>
    <row r="110" spans="1:2" x14ac:dyDescent="0.25">
      <c r="A110" s="11">
        <v>45566</v>
      </c>
      <c r="B110" s="1">
        <v>-4.0900000000000034</v>
      </c>
    </row>
    <row r="111" spans="1:2" x14ac:dyDescent="0.25">
      <c r="A111" s="11">
        <v>45597</v>
      </c>
      <c r="B111" s="1">
        <v>-5</v>
      </c>
    </row>
    <row r="112" spans="1:2" x14ac:dyDescent="0.25">
      <c r="A112" s="11">
        <v>45627</v>
      </c>
      <c r="B112" s="1">
        <v>0</v>
      </c>
    </row>
    <row r="113" spans="1:2" x14ac:dyDescent="0.25">
      <c r="A113" s="11">
        <v>45658</v>
      </c>
      <c r="B113" s="1">
        <v>0</v>
      </c>
    </row>
    <row r="114" spans="1:2" x14ac:dyDescent="0.25">
      <c r="A114" s="11">
        <v>45689</v>
      </c>
      <c r="B114" s="1">
        <v>-9.8999999999999986</v>
      </c>
    </row>
    <row r="115" spans="1:2" x14ac:dyDescent="0.25">
      <c r="A115" s="11">
        <v>45717</v>
      </c>
      <c r="B115" s="1">
        <v>9.8999999999999986</v>
      </c>
    </row>
    <row r="116" spans="1:2" x14ac:dyDescent="0.25">
      <c r="A116" s="11">
        <v>45748</v>
      </c>
      <c r="B116" s="1">
        <v>-3.9600000000000009</v>
      </c>
    </row>
    <row r="117" spans="1:2" x14ac:dyDescent="0.25">
      <c r="A117" s="11">
        <v>45778</v>
      </c>
      <c r="B117" s="1">
        <v>3.9600000000000009</v>
      </c>
    </row>
    <row r="118" spans="1:2" x14ac:dyDescent="0.25">
      <c r="A118" s="11">
        <v>45809</v>
      </c>
      <c r="B118" s="1">
        <v>0</v>
      </c>
    </row>
    <row r="119" spans="1:2" x14ac:dyDescent="0.25">
      <c r="A119" s="11">
        <v>45839</v>
      </c>
      <c r="B119" s="1">
        <v>0</v>
      </c>
    </row>
    <row r="120" spans="1:2" x14ac:dyDescent="0.25">
      <c r="A120" s="11">
        <v>45870</v>
      </c>
      <c r="B120" s="1">
        <v>0</v>
      </c>
    </row>
    <row r="121" spans="1:2" x14ac:dyDescent="0.25">
      <c r="A121" s="11">
        <v>45901</v>
      </c>
      <c r="B121" s="1">
        <v>0</v>
      </c>
    </row>
    <row r="122" spans="1:2" x14ac:dyDescent="0.25">
      <c r="A122" s="11">
        <v>45931</v>
      </c>
      <c r="B122" s="1">
        <v>0</v>
      </c>
    </row>
    <row r="123" spans="1:2" x14ac:dyDescent="0.25">
      <c r="A123" s="11">
        <v>45962</v>
      </c>
      <c r="B123" s="1">
        <v>12</v>
      </c>
    </row>
    <row r="124" spans="1:2" x14ac:dyDescent="0.25">
      <c r="A124" s="11">
        <v>45992</v>
      </c>
      <c r="B124" s="1">
        <v>-11</v>
      </c>
    </row>
    <row r="125" spans="1:2" x14ac:dyDescent="0.25">
      <c r="A125" s="11" t="s">
        <v>391</v>
      </c>
      <c r="B125" s="1"/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0057-0B6F-4513-8651-CE73C6B0B254}">
  <dimension ref="A1:D6"/>
  <sheetViews>
    <sheetView workbookViewId="0">
      <selection activeCell="C13" sqref="C13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20.85546875" bestFit="1" customWidth="1"/>
    <col min="4" max="4" width="17.85546875" bestFit="1" customWidth="1"/>
  </cols>
  <sheetData>
    <row r="1" spans="1:4" x14ac:dyDescent="0.25">
      <c r="A1" t="s">
        <v>293</v>
      </c>
      <c r="B1" t="s">
        <v>1</v>
      </c>
      <c r="C1" t="s">
        <v>338</v>
      </c>
      <c r="D1" t="s">
        <v>339</v>
      </c>
    </row>
    <row r="2" spans="1:4" x14ac:dyDescent="0.25">
      <c r="A2">
        <v>2021</v>
      </c>
      <c r="B2">
        <v>449.46</v>
      </c>
      <c r="C2" s="1" t="s">
        <v>285</v>
      </c>
      <c r="D2" s="1" t="s">
        <v>285</v>
      </c>
    </row>
    <row r="3" spans="1:4" x14ac:dyDescent="0.25">
      <c r="A3">
        <v>2022</v>
      </c>
      <c r="B3">
        <v>481.45</v>
      </c>
      <c r="C3" s="1" t="s">
        <v>340</v>
      </c>
      <c r="D3" s="1">
        <v>7.1</v>
      </c>
    </row>
    <row r="4" spans="1:4" x14ac:dyDescent="0.25">
      <c r="A4">
        <v>2023</v>
      </c>
      <c r="B4">
        <v>469.58</v>
      </c>
      <c r="C4" s="1" t="s">
        <v>341</v>
      </c>
      <c r="D4" s="1">
        <v>-2.5</v>
      </c>
    </row>
    <row r="5" spans="1:4" x14ac:dyDescent="0.25">
      <c r="A5">
        <v>2024</v>
      </c>
      <c r="B5">
        <v>477.53</v>
      </c>
      <c r="C5" s="1" t="s">
        <v>342</v>
      </c>
      <c r="D5" s="1">
        <v>1.7</v>
      </c>
    </row>
    <row r="6" spans="1:4" x14ac:dyDescent="0.25">
      <c r="A6">
        <v>2025</v>
      </c>
      <c r="B6">
        <v>450.58</v>
      </c>
      <c r="C6" s="1" t="s">
        <v>343</v>
      </c>
      <c r="D6" s="1">
        <v>-5.6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C065-8DAD-4B88-A994-3AA4C1CFCA98}">
  <dimension ref="A1:J60"/>
  <sheetViews>
    <sheetView tabSelected="1" topLeftCell="B1" workbookViewId="0">
      <selection activeCell="J3" sqref="J3"/>
    </sheetView>
  </sheetViews>
  <sheetFormatPr defaultRowHeight="15" x14ac:dyDescent="0.25"/>
  <cols>
    <col min="1" max="1" width="13.42578125" customWidth="1"/>
    <col min="2" max="2" width="21.42578125" bestFit="1" customWidth="1"/>
    <col min="3" max="3" width="15.28515625" customWidth="1"/>
    <col min="4" max="4" width="13.7109375" customWidth="1"/>
    <col min="5" max="6" width="0" hidden="1" customWidth="1"/>
    <col min="7" max="7" width="19" hidden="1" customWidth="1"/>
    <col min="8" max="8" width="34.140625" customWidth="1"/>
    <col min="9" max="9" width="32.5703125" hidden="1" customWidth="1"/>
    <col min="10" max="10" width="35" customWidth="1"/>
  </cols>
  <sheetData>
    <row r="1" spans="1:10" x14ac:dyDescent="0.25">
      <c r="A1" s="2" t="s">
        <v>193</v>
      </c>
      <c r="B1" s="2" t="s">
        <v>194</v>
      </c>
      <c r="C1" s="2" t="s">
        <v>195</v>
      </c>
      <c r="D1" s="2" t="s">
        <v>196</v>
      </c>
      <c r="E1" s="7" t="s">
        <v>381</v>
      </c>
      <c r="F1" s="7" t="s">
        <v>382</v>
      </c>
      <c r="G1" s="7" t="s">
        <v>383</v>
      </c>
      <c r="H1" s="7" t="s">
        <v>384</v>
      </c>
      <c r="I1" s="7" t="s">
        <v>385</v>
      </c>
      <c r="J1" s="7" t="s">
        <v>386</v>
      </c>
    </row>
    <row r="2" spans="1:10" x14ac:dyDescent="0.25">
      <c r="A2" s="3">
        <v>6</v>
      </c>
      <c r="B2" s="5" t="s">
        <v>198</v>
      </c>
      <c r="C2" s="3">
        <v>5</v>
      </c>
      <c r="D2" s="3">
        <v>49.62</v>
      </c>
      <c r="E2" t="str">
        <f>VLOOKUP(C2, employee_data[], 2, FALSE)</f>
        <v>Steve</v>
      </c>
      <c r="F2" t="str">
        <f>VLOOKUP(C2, employee_data[], 3, FALSE)</f>
        <v>Johnson</v>
      </c>
      <c r="G2" t="str">
        <f>_xlfn.CONCAT(E2," ", F2)</f>
        <v>Steve Johnson</v>
      </c>
      <c r="H2" t="str">
        <f>IFERROR(VLOOKUP(C2,employee_data[],2,FALSE)&amp;" "&amp;VLOOKUP(C2,employee_data[],3,FALSE), "No SupportRep Assigned")</f>
        <v>Steve Johnson</v>
      </c>
      <c r="I2" t="str">
        <f>_xlfn.XLOOKUP(C2,employee_data[EmployeeId],employee_data[FirstName],"",0)&amp;" "&amp;_xlfn.XLOOKUP(C2,employee_data[EmployeeId],employee_data[LastName],"Unknown",0)</f>
        <v>Steve Johnson</v>
      </c>
      <c r="J2" t="str">
        <f>IF(_xlfn.XLOOKUP(C2,employee_data[EmployeeId], employee_data[EmployeeId], "", 0) = "", "No SupportRep Assigned", _xlfn.XLOOKUP(C2, employee_data[EmployeeId], employee_data[FirstName], "", 0)&amp;" "&amp;_xlfn.XLOOKUP(C2, employee_data[EmployeeId], employee_data[LastName], "", 0))</f>
        <v>Steve Johnson</v>
      </c>
    </row>
    <row r="3" spans="1:10" x14ac:dyDescent="0.25">
      <c r="A3" s="4">
        <v>26</v>
      </c>
      <c r="B3" s="6" t="s">
        <v>199</v>
      </c>
      <c r="C3" s="4">
        <v>4</v>
      </c>
      <c r="D3" s="4">
        <v>47.62</v>
      </c>
      <c r="E3" t="str">
        <f>VLOOKUP(C3, employee_data[], 2, FALSE)</f>
        <v>Margaret</v>
      </c>
      <c r="F3" t="str">
        <f>VLOOKUP(C3, employee_data[], 3, FALSE)</f>
        <v>Park</v>
      </c>
      <c r="G3" t="str">
        <f t="shared" ref="G3:G60" si="0">_xlfn.CONCAT(E3," ", F3)</f>
        <v>Margaret Park</v>
      </c>
      <c r="H3" t="str">
        <f>IFERROR(VLOOKUP(C3,employee_data[],2,FALSE)&amp;" "&amp;VLOOKUP(C3,employee_data[],3,FALSE), "No SupportRep Assigned")</f>
        <v>Margaret Park</v>
      </c>
      <c r="I3" t="str">
        <f>_xlfn.XLOOKUP(C3,employee_data[EmployeeId],employee_data[FirstName],"",0)&amp;" "&amp;_xlfn.XLOOKUP(C3,employee_data[EmployeeId],employee_data[LastName],"Unknown",0)</f>
        <v>Margaret Park</v>
      </c>
      <c r="J3" t="str">
        <f>IF(_xlfn.XLOOKUP(C3,employee_data[EmployeeId], employee_data[EmployeeId], "", 0) = "", "No SupportRep Assigned", _xlfn.XLOOKUP(C3, employee_data[EmployeeId], employee_data[FirstName], "", 0)&amp;" "&amp;_xlfn.XLOOKUP(C3, employee_data[EmployeeId], employee_data[LastName], "", 0))</f>
        <v>Margaret Park</v>
      </c>
    </row>
    <row r="4" spans="1:10" x14ac:dyDescent="0.25">
      <c r="A4" s="3">
        <v>57</v>
      </c>
      <c r="B4" s="5" t="s">
        <v>200</v>
      </c>
      <c r="C4" s="3">
        <v>5</v>
      </c>
      <c r="D4" s="3">
        <v>46.62</v>
      </c>
      <c r="E4" t="str">
        <f>VLOOKUP(C4, employee_data[], 2, FALSE)</f>
        <v>Steve</v>
      </c>
      <c r="F4" t="str">
        <f>VLOOKUP(C4, employee_data[], 3, FALSE)</f>
        <v>Johnson</v>
      </c>
      <c r="G4" t="str">
        <f t="shared" si="0"/>
        <v>Steve Johnson</v>
      </c>
      <c r="H4" t="str">
        <f>IFERROR(VLOOKUP(C4,employee_data[],2,FALSE)&amp;" "&amp;VLOOKUP(C4,employee_data[],3,FALSE), "No SupportRep Assigned")</f>
        <v>Steve Johnson</v>
      </c>
      <c r="I4" t="str">
        <f>_xlfn.XLOOKUP(C4,employee_data[EmployeeId],employee_data[FirstName],"",0)&amp;" "&amp;_xlfn.XLOOKUP(C4,employee_data[EmployeeId],employee_data[LastName],"Unknown",0)</f>
        <v>Steve Johnson</v>
      </c>
      <c r="J4" t="str">
        <f>IF(_xlfn.XLOOKUP(C4,employee_data[EmployeeId], employee_data[EmployeeId], "", 0) = "", "No SupportRep Assigned", _xlfn.XLOOKUP(C4, employee_data[EmployeeId], employee_data[FirstName], "", 0)&amp;" "&amp;_xlfn.XLOOKUP(C4, employee_data[EmployeeId], employee_data[LastName], "", 0))</f>
        <v>Steve Johnson</v>
      </c>
    </row>
    <row r="5" spans="1:10" x14ac:dyDescent="0.25">
      <c r="A5" s="4">
        <v>46</v>
      </c>
      <c r="B5" s="6" t="s">
        <v>201</v>
      </c>
      <c r="C5" s="4">
        <v>3</v>
      </c>
      <c r="D5" s="4">
        <v>45.62</v>
      </c>
      <c r="E5" t="str">
        <f>VLOOKUP(C5, employee_data[], 2, FALSE)</f>
        <v>Jane</v>
      </c>
      <c r="F5" t="str">
        <f>VLOOKUP(C5, employee_data[], 3, FALSE)</f>
        <v>Peacock</v>
      </c>
      <c r="G5" t="str">
        <f t="shared" si="0"/>
        <v>Jane Peacock</v>
      </c>
      <c r="H5" t="str">
        <f>IFERROR(VLOOKUP(C5,employee_data[],2,FALSE)&amp;" "&amp;VLOOKUP(C5,employee_data[],3,FALSE), "No SupportRep Assigned")</f>
        <v>Jane Peacock</v>
      </c>
      <c r="I5" t="str">
        <f>_xlfn.XLOOKUP(C5,employee_data[EmployeeId],employee_data[FirstName],"",0)&amp;" "&amp;_xlfn.XLOOKUP(C5,employee_data[EmployeeId],employee_data[LastName],"Unknown",0)</f>
        <v>Jane Peacock</v>
      </c>
      <c r="J5" t="str">
        <f>IF(_xlfn.XLOOKUP(C5,employee_data[EmployeeId], employee_data[EmployeeId], "", 0) = "", "No SupportRep Assigned", _xlfn.XLOOKUP(C5, employee_data[EmployeeId], employee_data[FirstName], "", 0)&amp;" "&amp;_xlfn.XLOOKUP(C5, employee_data[EmployeeId], employee_data[LastName], "", 0))</f>
        <v>Jane Peacock</v>
      </c>
    </row>
    <row r="6" spans="1:10" x14ac:dyDescent="0.25">
      <c r="A6" s="3">
        <v>45</v>
      </c>
      <c r="B6" s="5" t="s">
        <v>202</v>
      </c>
      <c r="C6" s="3">
        <v>3</v>
      </c>
      <c r="D6" s="3">
        <v>45.62</v>
      </c>
      <c r="E6" t="str">
        <f>VLOOKUP(C6, employee_data[], 2, FALSE)</f>
        <v>Jane</v>
      </c>
      <c r="F6" t="str">
        <f>VLOOKUP(C6, employee_data[], 3, FALSE)</f>
        <v>Peacock</v>
      </c>
      <c r="G6" t="str">
        <f t="shared" si="0"/>
        <v>Jane Peacock</v>
      </c>
      <c r="H6" t="str">
        <f>IFERROR(VLOOKUP(C6,employee_data[],2,FALSE)&amp;" "&amp;VLOOKUP(C6,employee_data[],3,FALSE), "No SupportRep Assigned")</f>
        <v>Jane Peacock</v>
      </c>
      <c r="I6" t="str">
        <f>_xlfn.XLOOKUP(C6,employee_data[EmployeeId],employee_data[FirstName],"",0)&amp;" "&amp;_xlfn.XLOOKUP(C6,employee_data[EmployeeId],employee_data[LastName],"Unknown",0)</f>
        <v>Jane Peacock</v>
      </c>
      <c r="J6" t="str">
        <f>IF(_xlfn.XLOOKUP(C6,employee_data[EmployeeId], employee_data[EmployeeId], "", 0) = "", "No SupportRep Assigned", _xlfn.XLOOKUP(C6, employee_data[EmployeeId], employee_data[FirstName], "", 0)&amp;" "&amp;_xlfn.XLOOKUP(C6, employee_data[EmployeeId], employee_data[LastName], "", 0))</f>
        <v>Jane Peacock</v>
      </c>
    </row>
    <row r="7" spans="1:10" x14ac:dyDescent="0.25">
      <c r="A7" s="4">
        <v>37</v>
      </c>
      <c r="B7" s="6" t="s">
        <v>203</v>
      </c>
      <c r="C7" s="4">
        <v>3</v>
      </c>
      <c r="D7" s="4">
        <v>43.62</v>
      </c>
      <c r="E7" t="str">
        <f>VLOOKUP(C7, employee_data[], 2, FALSE)</f>
        <v>Jane</v>
      </c>
      <c r="F7" t="str">
        <f>VLOOKUP(C7, employee_data[], 3, FALSE)</f>
        <v>Peacock</v>
      </c>
      <c r="G7" t="str">
        <f t="shared" si="0"/>
        <v>Jane Peacock</v>
      </c>
      <c r="H7" t="str">
        <f>IFERROR(VLOOKUP(C7,employee_data[],2,FALSE)&amp;" "&amp;VLOOKUP(C7,employee_data[],3,FALSE), "No SupportRep Assigned")</f>
        <v>Jane Peacock</v>
      </c>
      <c r="I7" t="str">
        <f>_xlfn.XLOOKUP(C7,employee_data[EmployeeId],employee_data[FirstName],"",0)&amp;" "&amp;_xlfn.XLOOKUP(C7,employee_data[EmployeeId],employee_data[LastName],"Unknown",0)</f>
        <v>Jane Peacock</v>
      </c>
      <c r="J7" t="str">
        <f>IF(_xlfn.XLOOKUP(C7,employee_data[EmployeeId], employee_data[EmployeeId], "", 0) = "", "No SupportRep Assigned", _xlfn.XLOOKUP(C7, employee_data[EmployeeId], employee_data[FirstName], "", 0)&amp;" "&amp;_xlfn.XLOOKUP(C7, employee_data[EmployeeId], employee_data[LastName], "", 0))</f>
        <v>Jane Peacock</v>
      </c>
    </row>
    <row r="8" spans="1:10" x14ac:dyDescent="0.25">
      <c r="A8" s="3">
        <v>28</v>
      </c>
      <c r="B8" s="5" t="s">
        <v>204</v>
      </c>
      <c r="C8" s="3">
        <v>5</v>
      </c>
      <c r="D8" s="3">
        <v>43.62</v>
      </c>
      <c r="E8" t="str">
        <f>VLOOKUP(C8, employee_data[], 2, FALSE)</f>
        <v>Steve</v>
      </c>
      <c r="F8" t="str">
        <f>VLOOKUP(C8, employee_data[], 3, FALSE)</f>
        <v>Johnson</v>
      </c>
      <c r="G8" t="str">
        <f t="shared" si="0"/>
        <v>Steve Johnson</v>
      </c>
      <c r="H8" t="str">
        <f>IFERROR(VLOOKUP(C8,employee_data[],2,FALSE)&amp;" "&amp;VLOOKUP(C8,employee_data[],3,FALSE), "No SupportRep Assigned")</f>
        <v>Steve Johnson</v>
      </c>
      <c r="I8" t="str">
        <f>_xlfn.XLOOKUP(C8,employee_data[EmployeeId],employee_data[FirstName],"",0)&amp;" "&amp;_xlfn.XLOOKUP(C8,employee_data[EmployeeId],employee_data[LastName],"Unknown",0)</f>
        <v>Steve Johnson</v>
      </c>
      <c r="J8" t="str">
        <f>IF(_xlfn.XLOOKUP(C8,employee_data[EmployeeId], employee_data[EmployeeId], "", 0) = "", "No SupportRep Assigned", _xlfn.XLOOKUP(C8, employee_data[EmployeeId], employee_data[FirstName], "", 0)&amp;" "&amp;_xlfn.XLOOKUP(C8, employee_data[EmployeeId], employee_data[LastName], "", 0))</f>
        <v>Steve Johnson</v>
      </c>
    </row>
    <row r="9" spans="1:10" x14ac:dyDescent="0.25">
      <c r="A9" s="4">
        <v>24</v>
      </c>
      <c r="B9" s="6" t="s">
        <v>205</v>
      </c>
      <c r="C9" s="4">
        <v>3</v>
      </c>
      <c r="D9" s="4">
        <v>43.62</v>
      </c>
      <c r="E9" t="str">
        <f>VLOOKUP(C9, employee_data[], 2, FALSE)</f>
        <v>Jane</v>
      </c>
      <c r="F9" t="str">
        <f>VLOOKUP(C9, employee_data[], 3, FALSE)</f>
        <v>Peacock</v>
      </c>
      <c r="G9" t="str">
        <f t="shared" si="0"/>
        <v>Jane Peacock</v>
      </c>
      <c r="H9" t="str">
        <f>IFERROR(VLOOKUP(C9,employee_data[],2,FALSE)&amp;" "&amp;VLOOKUP(C9,employee_data[],3,FALSE), "No SupportRep Assigned")</f>
        <v>Jane Peacock</v>
      </c>
      <c r="I9" t="str">
        <f>_xlfn.XLOOKUP(C9,employee_data[EmployeeId],employee_data[FirstName],"",0)&amp;" "&amp;_xlfn.XLOOKUP(C9,employee_data[EmployeeId],employee_data[LastName],"Unknown",0)</f>
        <v>Jane Peacock</v>
      </c>
      <c r="J9" t="str">
        <f>IF(_xlfn.XLOOKUP(C9,employee_data[EmployeeId], employee_data[EmployeeId], "", 0) = "", "No SupportRep Assigned", _xlfn.XLOOKUP(C9, employee_data[EmployeeId], employee_data[FirstName], "", 0)&amp;" "&amp;_xlfn.XLOOKUP(C9, employee_data[EmployeeId], employee_data[LastName], "", 0))</f>
        <v>Jane Peacock</v>
      </c>
    </row>
    <row r="10" spans="1:10" x14ac:dyDescent="0.25">
      <c r="A10" s="3">
        <v>25</v>
      </c>
      <c r="B10" s="5" t="s">
        <v>206</v>
      </c>
      <c r="C10" s="3">
        <v>5</v>
      </c>
      <c r="D10" s="3">
        <v>42.62</v>
      </c>
      <c r="E10" t="str">
        <f>VLOOKUP(C10, employee_data[], 2, FALSE)</f>
        <v>Steve</v>
      </c>
      <c r="F10" t="str">
        <f>VLOOKUP(C10, employee_data[], 3, FALSE)</f>
        <v>Johnson</v>
      </c>
      <c r="G10" t="str">
        <f t="shared" si="0"/>
        <v>Steve Johnson</v>
      </c>
      <c r="H10" t="str">
        <f>IFERROR(VLOOKUP(C10,employee_data[],2,FALSE)&amp;" "&amp;VLOOKUP(C10,employee_data[],3,FALSE), "No SupportRep Assigned")</f>
        <v>Steve Johnson</v>
      </c>
      <c r="I10" t="str">
        <f>_xlfn.XLOOKUP(C10,employee_data[EmployeeId],employee_data[FirstName],"",0)&amp;" "&amp;_xlfn.XLOOKUP(C10,employee_data[EmployeeId],employee_data[LastName],"Unknown",0)</f>
        <v>Steve Johnson</v>
      </c>
      <c r="J10" t="str">
        <f>IF(_xlfn.XLOOKUP(C10,employee_data[EmployeeId], employee_data[EmployeeId], "", 0) = "", "No SupportRep Assigned", _xlfn.XLOOKUP(C10, employee_data[EmployeeId], employee_data[FirstName], "", 0)&amp;" "&amp;_xlfn.XLOOKUP(C10, employee_data[EmployeeId], employee_data[LastName], "", 0))</f>
        <v>Steve Johnson</v>
      </c>
    </row>
    <row r="11" spans="1:10" x14ac:dyDescent="0.25">
      <c r="A11" s="4">
        <v>7</v>
      </c>
      <c r="B11" s="6" t="s">
        <v>207</v>
      </c>
      <c r="C11" s="4">
        <v>5</v>
      </c>
      <c r="D11" s="4">
        <v>42.62</v>
      </c>
      <c r="E11" t="str">
        <f>VLOOKUP(C11, employee_data[], 2, FALSE)</f>
        <v>Steve</v>
      </c>
      <c r="F11" t="str">
        <f>VLOOKUP(C11, employee_data[], 3, FALSE)</f>
        <v>Johnson</v>
      </c>
      <c r="G11" t="str">
        <f t="shared" si="0"/>
        <v>Steve Johnson</v>
      </c>
      <c r="H11" t="str">
        <f>IFERROR(VLOOKUP(C11,employee_data[],2,FALSE)&amp;" "&amp;VLOOKUP(C11,employee_data[],3,FALSE), "No SupportRep Assigned")</f>
        <v>Steve Johnson</v>
      </c>
      <c r="I11" t="str">
        <f>_xlfn.XLOOKUP(C11,employee_data[EmployeeId],employee_data[FirstName],"",0)&amp;" "&amp;_xlfn.XLOOKUP(C11,employee_data[EmployeeId],employee_data[LastName],"Unknown",0)</f>
        <v>Steve Johnson</v>
      </c>
      <c r="J11" t="str">
        <f>IF(_xlfn.XLOOKUP(C11,employee_data[EmployeeId], employee_data[EmployeeId], "", 0) = "", "No SupportRep Assigned", _xlfn.XLOOKUP(C11, employee_data[EmployeeId], employee_data[FirstName], "", 0)&amp;" "&amp;_xlfn.XLOOKUP(C11, employee_data[EmployeeId], employee_data[LastName], "", 0))</f>
        <v>Steve Johnson</v>
      </c>
    </row>
    <row r="12" spans="1:10" x14ac:dyDescent="0.25">
      <c r="A12" s="3">
        <v>44</v>
      </c>
      <c r="B12" s="5" t="s">
        <v>208</v>
      </c>
      <c r="C12" s="3">
        <v>3</v>
      </c>
      <c r="D12" s="3">
        <v>41.62</v>
      </c>
      <c r="E12" t="str">
        <f>VLOOKUP(C12, employee_data[], 2, FALSE)</f>
        <v>Jane</v>
      </c>
      <c r="F12" t="str">
        <f>VLOOKUP(C12, employee_data[], 3, FALSE)</f>
        <v>Peacock</v>
      </c>
      <c r="G12" t="str">
        <f t="shared" si="0"/>
        <v>Jane Peacock</v>
      </c>
      <c r="H12" t="str">
        <f>IFERROR(VLOOKUP(C12,employee_data[],2,FALSE)&amp;" "&amp;VLOOKUP(C12,employee_data[],3,FALSE), "No SupportRep Assigned")</f>
        <v>Jane Peacock</v>
      </c>
      <c r="I12" t="str">
        <f>_xlfn.XLOOKUP(C12,employee_data[EmployeeId],employee_data[FirstName],"",0)&amp;" "&amp;_xlfn.XLOOKUP(C12,employee_data[EmployeeId],employee_data[LastName],"Unknown",0)</f>
        <v>Jane Peacock</v>
      </c>
      <c r="J12" t="str">
        <f>IF(_xlfn.XLOOKUP(C12,employee_data[EmployeeId], employee_data[EmployeeId], "", 0) = "", "No SupportRep Assigned", _xlfn.XLOOKUP(C12, employee_data[EmployeeId], employee_data[FirstName], "", 0)&amp;" "&amp;_xlfn.XLOOKUP(C12, employee_data[EmployeeId], employee_data[LastName], "", 0))</f>
        <v>Jane Peacock</v>
      </c>
    </row>
    <row r="13" spans="1:10" x14ac:dyDescent="0.25">
      <c r="A13" s="4">
        <v>48</v>
      </c>
      <c r="B13" s="6" t="s">
        <v>209</v>
      </c>
      <c r="C13" s="4">
        <v>5</v>
      </c>
      <c r="D13" s="4">
        <v>40.619999999999997</v>
      </c>
      <c r="E13" t="str">
        <f>VLOOKUP(C13, employee_data[], 2, FALSE)</f>
        <v>Steve</v>
      </c>
      <c r="F13" t="str">
        <f>VLOOKUP(C13, employee_data[], 3, FALSE)</f>
        <v>Johnson</v>
      </c>
      <c r="G13" t="str">
        <f t="shared" si="0"/>
        <v>Steve Johnson</v>
      </c>
      <c r="H13" t="str">
        <f>IFERROR(VLOOKUP(C13,employee_data[],2,FALSE)&amp;" "&amp;VLOOKUP(C13,employee_data[],3,FALSE), "No SupportRep Assigned")</f>
        <v>Steve Johnson</v>
      </c>
      <c r="I13" t="str">
        <f>_xlfn.XLOOKUP(C13,employee_data[EmployeeId],employee_data[FirstName],"",0)&amp;" "&amp;_xlfn.XLOOKUP(C13,employee_data[EmployeeId],employee_data[LastName],"Unknown",0)</f>
        <v>Steve Johnson</v>
      </c>
      <c r="J13" t="str">
        <f>IF(_xlfn.XLOOKUP(C13,employee_data[EmployeeId], employee_data[EmployeeId], "", 0) = "", "No SupportRep Assigned", _xlfn.XLOOKUP(C13, employee_data[EmployeeId], employee_data[FirstName], "", 0)&amp;" "&amp;_xlfn.XLOOKUP(C13, employee_data[EmployeeId], employee_data[LastName], "", 0))</f>
        <v>Steve Johnson</v>
      </c>
    </row>
    <row r="14" spans="1:10" x14ac:dyDescent="0.25">
      <c r="A14" s="3">
        <v>5</v>
      </c>
      <c r="B14" s="5" t="s">
        <v>210</v>
      </c>
      <c r="C14" s="3">
        <v>4</v>
      </c>
      <c r="D14" s="3">
        <v>40.619999999999997</v>
      </c>
      <c r="E14" t="str">
        <f>VLOOKUP(C14, employee_data[], 2, FALSE)</f>
        <v>Margaret</v>
      </c>
      <c r="F14" t="str">
        <f>VLOOKUP(C14, employee_data[], 3, FALSE)</f>
        <v>Park</v>
      </c>
      <c r="G14" t="str">
        <f t="shared" si="0"/>
        <v>Margaret Park</v>
      </c>
      <c r="H14" t="str">
        <f>IFERROR(VLOOKUP(C14,employee_data[],2,FALSE)&amp;" "&amp;VLOOKUP(C14,employee_data[],3,FALSE), "No SupportRep Assigned")</f>
        <v>Margaret Park</v>
      </c>
      <c r="I14" t="str">
        <f>_xlfn.XLOOKUP(C14,employee_data[EmployeeId],employee_data[FirstName],"",0)&amp;" "&amp;_xlfn.XLOOKUP(C14,employee_data[EmployeeId],employee_data[LastName],"Unknown",0)</f>
        <v>Margaret Park</v>
      </c>
      <c r="J14" t="str">
        <f>IF(_xlfn.XLOOKUP(C14,employee_data[EmployeeId], employee_data[EmployeeId], "", 0) = "", "No SupportRep Assigned", _xlfn.XLOOKUP(C14, employee_data[EmployeeId], employee_data[FirstName], "", 0)&amp;" "&amp;_xlfn.XLOOKUP(C14, employee_data[EmployeeId], employee_data[LastName], "", 0))</f>
        <v>Margaret Park</v>
      </c>
    </row>
    <row r="15" spans="1:10" x14ac:dyDescent="0.25">
      <c r="A15" s="4">
        <v>43</v>
      </c>
      <c r="B15" s="6" t="s">
        <v>211</v>
      </c>
      <c r="C15" s="4">
        <v>3</v>
      </c>
      <c r="D15" s="4">
        <v>40.619999999999997</v>
      </c>
      <c r="E15" t="str">
        <f>VLOOKUP(C15, employee_data[], 2, FALSE)</f>
        <v>Jane</v>
      </c>
      <c r="F15" t="str">
        <f>VLOOKUP(C15, employee_data[], 3, FALSE)</f>
        <v>Peacock</v>
      </c>
      <c r="G15" t="str">
        <f t="shared" si="0"/>
        <v>Jane Peacock</v>
      </c>
      <c r="H15" t="str">
        <f>IFERROR(VLOOKUP(C15,employee_data[],2,FALSE)&amp;" "&amp;VLOOKUP(C15,employee_data[],3,FALSE), "No SupportRep Assigned")</f>
        <v>Jane Peacock</v>
      </c>
      <c r="I15" t="str">
        <f>_xlfn.XLOOKUP(C15,employee_data[EmployeeId],employee_data[FirstName],"",0)&amp;" "&amp;_xlfn.XLOOKUP(C15,employee_data[EmployeeId],employee_data[LastName],"Unknown",0)</f>
        <v>Jane Peacock</v>
      </c>
      <c r="J15" t="str">
        <f>IF(_xlfn.XLOOKUP(C15,employee_data[EmployeeId], employee_data[EmployeeId], "", 0) = "", "No SupportRep Assigned", _xlfn.XLOOKUP(C15, employee_data[EmployeeId], employee_data[FirstName], "", 0)&amp;" "&amp;_xlfn.XLOOKUP(C15, employee_data[EmployeeId], employee_data[LastName], "", 0))</f>
        <v>Jane Peacock</v>
      </c>
    </row>
    <row r="16" spans="1:10" x14ac:dyDescent="0.25">
      <c r="A16" s="3">
        <v>4</v>
      </c>
      <c r="B16" s="5" t="s">
        <v>212</v>
      </c>
      <c r="C16" s="3">
        <v>4</v>
      </c>
      <c r="D16" s="3">
        <v>39.619999999999997</v>
      </c>
      <c r="E16" t="str">
        <f>VLOOKUP(C16, employee_data[], 2, FALSE)</f>
        <v>Margaret</v>
      </c>
      <c r="F16" t="str">
        <f>VLOOKUP(C16, employee_data[], 3, FALSE)</f>
        <v>Park</v>
      </c>
      <c r="G16" t="str">
        <f t="shared" si="0"/>
        <v>Margaret Park</v>
      </c>
      <c r="H16" t="str">
        <f>IFERROR(VLOOKUP(C16,employee_data[],2,FALSE)&amp;" "&amp;VLOOKUP(C16,employee_data[],3,FALSE), "No SupportRep Assigned")</f>
        <v>Margaret Park</v>
      </c>
      <c r="I16" t="str">
        <f>_xlfn.XLOOKUP(C16,employee_data[EmployeeId],employee_data[FirstName],"",0)&amp;" "&amp;_xlfn.XLOOKUP(C16,employee_data[EmployeeId],employee_data[LastName],"Unknown",0)</f>
        <v>Margaret Park</v>
      </c>
      <c r="J16" t="str">
        <f>IF(_xlfn.XLOOKUP(C16,employee_data[EmployeeId], employee_data[EmployeeId], "", 0) = "", "No SupportRep Assigned", _xlfn.XLOOKUP(C16, employee_data[EmployeeId], employee_data[FirstName], "", 0)&amp;" "&amp;_xlfn.XLOOKUP(C16, employee_data[EmployeeId], employee_data[LastName], "", 0))</f>
        <v>Margaret Park</v>
      </c>
    </row>
    <row r="17" spans="1:10" x14ac:dyDescent="0.25">
      <c r="A17" s="4">
        <v>3</v>
      </c>
      <c r="B17" s="6" t="s">
        <v>213</v>
      </c>
      <c r="C17" s="4">
        <v>3</v>
      </c>
      <c r="D17" s="4">
        <v>39.619999999999997</v>
      </c>
      <c r="E17" t="str">
        <f>VLOOKUP(C17, employee_data[], 2, FALSE)</f>
        <v>Jane</v>
      </c>
      <c r="F17" t="str">
        <f>VLOOKUP(C17, employee_data[], 3, FALSE)</f>
        <v>Peacock</v>
      </c>
      <c r="G17" t="str">
        <f t="shared" si="0"/>
        <v>Jane Peacock</v>
      </c>
      <c r="H17" t="str">
        <f>IFERROR(VLOOKUP(C17,employee_data[],2,FALSE)&amp;" "&amp;VLOOKUP(C17,employee_data[],3,FALSE), "No SupportRep Assigned")</f>
        <v>Jane Peacock</v>
      </c>
      <c r="I17" t="str">
        <f>_xlfn.XLOOKUP(C17,employee_data[EmployeeId],employee_data[FirstName],"",0)&amp;" "&amp;_xlfn.XLOOKUP(C17,employee_data[EmployeeId],employee_data[LastName],"Unknown",0)</f>
        <v>Jane Peacock</v>
      </c>
      <c r="J17" t="str">
        <f>IF(_xlfn.XLOOKUP(C17,employee_data[EmployeeId], employee_data[EmployeeId], "", 0) = "", "No SupportRep Assigned", _xlfn.XLOOKUP(C17, employee_data[EmployeeId], employee_data[FirstName], "", 0)&amp;" "&amp;_xlfn.XLOOKUP(C17, employee_data[EmployeeId], employee_data[LastName], "", 0))</f>
        <v>Jane Peacock</v>
      </c>
    </row>
    <row r="18" spans="1:10" x14ac:dyDescent="0.25">
      <c r="A18" s="3">
        <v>42</v>
      </c>
      <c r="B18" s="5" t="s">
        <v>214</v>
      </c>
      <c r="C18" s="3">
        <v>3</v>
      </c>
      <c r="D18" s="3">
        <v>39.619999999999997</v>
      </c>
      <c r="E18" t="str">
        <f>VLOOKUP(C18, employee_data[], 2, FALSE)</f>
        <v>Jane</v>
      </c>
      <c r="F18" t="str">
        <f>VLOOKUP(C18, employee_data[], 3, FALSE)</f>
        <v>Peacock</v>
      </c>
      <c r="G18" t="str">
        <f t="shared" si="0"/>
        <v>Jane Peacock</v>
      </c>
      <c r="H18" t="str">
        <f>IFERROR(VLOOKUP(C18,employee_data[],2,FALSE)&amp;" "&amp;VLOOKUP(C18,employee_data[],3,FALSE), "No SupportRep Assigned")</f>
        <v>Jane Peacock</v>
      </c>
      <c r="I18" t="str">
        <f>_xlfn.XLOOKUP(C18,employee_data[EmployeeId],employee_data[FirstName],"",0)&amp;" "&amp;_xlfn.XLOOKUP(C18,employee_data[EmployeeId],employee_data[LastName],"Unknown",0)</f>
        <v>Jane Peacock</v>
      </c>
      <c r="J18" t="str">
        <f>IF(_xlfn.XLOOKUP(C18,employee_data[EmployeeId], employee_data[EmployeeId], "", 0) = "", "No SupportRep Assigned", _xlfn.XLOOKUP(C18, employee_data[EmployeeId], employee_data[FirstName], "", 0)&amp;" "&amp;_xlfn.XLOOKUP(C18, employee_data[EmployeeId], employee_data[LastName], "", 0))</f>
        <v>Jane Peacock</v>
      </c>
    </row>
    <row r="19" spans="1:10" x14ac:dyDescent="0.25">
      <c r="A19" s="4">
        <v>34</v>
      </c>
      <c r="B19" s="6" t="s">
        <v>215</v>
      </c>
      <c r="C19" s="4">
        <v>4</v>
      </c>
      <c r="D19" s="4">
        <v>39.619999999999997</v>
      </c>
      <c r="E19" t="str">
        <f>VLOOKUP(C19, employee_data[], 2, FALSE)</f>
        <v>Margaret</v>
      </c>
      <c r="F19" t="str">
        <f>VLOOKUP(C19, employee_data[], 3, FALSE)</f>
        <v>Park</v>
      </c>
      <c r="G19" t="str">
        <f t="shared" si="0"/>
        <v>Margaret Park</v>
      </c>
      <c r="H19" t="str">
        <f>IFERROR(VLOOKUP(C19,employee_data[],2,FALSE)&amp;" "&amp;VLOOKUP(C19,employee_data[],3,FALSE), "No SupportRep Assigned")</f>
        <v>Margaret Park</v>
      </c>
      <c r="I19" t="str">
        <f>_xlfn.XLOOKUP(C19,employee_data[EmployeeId],employee_data[FirstName],"",0)&amp;" "&amp;_xlfn.XLOOKUP(C19,employee_data[EmployeeId],employee_data[LastName],"Unknown",0)</f>
        <v>Margaret Park</v>
      </c>
      <c r="J19" t="str">
        <f>IF(_xlfn.XLOOKUP(C19,employee_data[EmployeeId], employee_data[EmployeeId], "", 0) = "", "No SupportRep Assigned", _xlfn.XLOOKUP(C19, employee_data[EmployeeId], employee_data[FirstName], "", 0)&amp;" "&amp;_xlfn.XLOOKUP(C19, employee_data[EmployeeId], employee_data[LastName], "", 0))</f>
        <v>Margaret Park</v>
      </c>
    </row>
    <row r="20" spans="1:10" x14ac:dyDescent="0.25">
      <c r="A20" s="3">
        <v>17</v>
      </c>
      <c r="B20" s="5" t="s">
        <v>216</v>
      </c>
      <c r="C20" s="3">
        <v>5</v>
      </c>
      <c r="D20" s="3">
        <v>39.619999999999997</v>
      </c>
      <c r="E20" t="str">
        <f>VLOOKUP(C20, employee_data[], 2, FALSE)</f>
        <v>Steve</v>
      </c>
      <c r="F20" t="str">
        <f>VLOOKUP(C20, employee_data[], 3, FALSE)</f>
        <v>Johnson</v>
      </c>
      <c r="G20" t="str">
        <f t="shared" si="0"/>
        <v>Steve Johnson</v>
      </c>
      <c r="H20" t="str">
        <f>IFERROR(VLOOKUP(C20,employee_data[],2,FALSE)&amp;" "&amp;VLOOKUP(C20,employee_data[],3,FALSE), "No SupportRep Assigned")</f>
        <v>Steve Johnson</v>
      </c>
      <c r="I20" t="str">
        <f>_xlfn.XLOOKUP(C20,employee_data[EmployeeId],employee_data[FirstName],"",0)&amp;" "&amp;_xlfn.XLOOKUP(C20,employee_data[EmployeeId],employee_data[LastName],"Unknown",0)</f>
        <v>Steve Johnson</v>
      </c>
      <c r="J20" t="str">
        <f>IF(_xlfn.XLOOKUP(C20,employee_data[EmployeeId], employee_data[EmployeeId], "", 0) = "", "No SupportRep Assigned", _xlfn.XLOOKUP(C20, employee_data[EmployeeId], employee_data[FirstName], "", 0)&amp;" "&amp;_xlfn.XLOOKUP(C20, employee_data[EmployeeId], employee_data[LastName], "", 0))</f>
        <v>Steve Johnson</v>
      </c>
    </row>
    <row r="21" spans="1:10" x14ac:dyDescent="0.25">
      <c r="A21" s="4">
        <v>22</v>
      </c>
      <c r="B21" s="6" t="s">
        <v>217</v>
      </c>
      <c r="C21" s="4">
        <v>4</v>
      </c>
      <c r="D21" s="4">
        <v>39.619999999999997</v>
      </c>
      <c r="E21" t="str">
        <f>VLOOKUP(C21, employee_data[], 2, FALSE)</f>
        <v>Margaret</v>
      </c>
      <c r="F21" t="str">
        <f>VLOOKUP(C21, employee_data[], 3, FALSE)</f>
        <v>Park</v>
      </c>
      <c r="G21" t="str">
        <f t="shared" si="0"/>
        <v>Margaret Park</v>
      </c>
      <c r="H21" t="str">
        <f>IFERROR(VLOOKUP(C21,employee_data[],2,FALSE)&amp;" "&amp;VLOOKUP(C21,employee_data[],3,FALSE), "No SupportRep Assigned")</f>
        <v>Margaret Park</v>
      </c>
      <c r="I21" t="str">
        <f>_xlfn.XLOOKUP(C21,employee_data[EmployeeId],employee_data[FirstName],"",0)&amp;" "&amp;_xlfn.XLOOKUP(C21,employee_data[EmployeeId],employee_data[LastName],"Unknown",0)</f>
        <v>Margaret Park</v>
      </c>
      <c r="J21" t="str">
        <f>IF(_xlfn.XLOOKUP(C21,employee_data[EmployeeId], employee_data[EmployeeId], "", 0) = "", "No SupportRep Assigned", _xlfn.XLOOKUP(C21, employee_data[EmployeeId], employee_data[FirstName], "", 0)&amp;" "&amp;_xlfn.XLOOKUP(C21, employee_data[EmployeeId], employee_data[LastName], "", 0))</f>
        <v>Margaret Park</v>
      </c>
    </row>
    <row r="22" spans="1:10" x14ac:dyDescent="0.25">
      <c r="A22" s="3">
        <v>1</v>
      </c>
      <c r="B22" s="5" t="s">
        <v>218</v>
      </c>
      <c r="C22" s="3">
        <v>3</v>
      </c>
      <c r="D22" s="3">
        <v>39.619999999999997</v>
      </c>
      <c r="E22" t="str">
        <f>VLOOKUP(C22, employee_data[], 2, FALSE)</f>
        <v>Jane</v>
      </c>
      <c r="F22" t="str">
        <f>VLOOKUP(C22, employee_data[], 3, FALSE)</f>
        <v>Peacock</v>
      </c>
      <c r="G22" t="str">
        <f t="shared" si="0"/>
        <v>Jane Peacock</v>
      </c>
      <c r="H22" t="str">
        <f>IFERROR(VLOOKUP(C22,employee_data[],2,FALSE)&amp;" "&amp;VLOOKUP(C22,employee_data[],3,FALSE), "No SupportRep Assigned")</f>
        <v>Jane Peacock</v>
      </c>
      <c r="I22" t="str">
        <f>_xlfn.XLOOKUP(C22,employee_data[EmployeeId],employee_data[FirstName],"",0)&amp;" "&amp;_xlfn.XLOOKUP(C22,employee_data[EmployeeId],employee_data[LastName],"Unknown",0)</f>
        <v>Jane Peacock</v>
      </c>
      <c r="J22" t="str">
        <f>IF(_xlfn.XLOOKUP(C22,employee_data[EmployeeId], employee_data[EmployeeId], "", 0) = "", "No SupportRep Assigned", _xlfn.XLOOKUP(C22, employee_data[EmployeeId], employee_data[FirstName], "", 0)&amp;" "&amp;_xlfn.XLOOKUP(C22, employee_data[EmployeeId], employee_data[LastName], "", 0))</f>
        <v>Jane Peacock</v>
      </c>
    </row>
    <row r="23" spans="1:10" x14ac:dyDescent="0.25">
      <c r="A23" s="4">
        <v>20</v>
      </c>
      <c r="B23" s="6" t="s">
        <v>219</v>
      </c>
      <c r="C23" s="4">
        <v>4</v>
      </c>
      <c r="D23" s="4">
        <v>39.619999999999997</v>
      </c>
      <c r="E23" t="str">
        <f>VLOOKUP(C23, employee_data[], 2, FALSE)</f>
        <v>Margaret</v>
      </c>
      <c r="F23" t="str">
        <f>VLOOKUP(C23, employee_data[], 3, FALSE)</f>
        <v>Park</v>
      </c>
      <c r="G23" t="str">
        <f t="shared" si="0"/>
        <v>Margaret Park</v>
      </c>
      <c r="H23" t="str">
        <f>IFERROR(VLOOKUP(C23,employee_data[],2,FALSE)&amp;" "&amp;VLOOKUP(C23,employee_data[],3,FALSE), "No SupportRep Assigned")</f>
        <v>Margaret Park</v>
      </c>
      <c r="I23" t="str">
        <f>_xlfn.XLOOKUP(C23,employee_data[EmployeeId],employee_data[FirstName],"",0)&amp;" "&amp;_xlfn.XLOOKUP(C23,employee_data[EmployeeId],employee_data[LastName],"Unknown",0)</f>
        <v>Margaret Park</v>
      </c>
      <c r="J23" t="str">
        <f>IF(_xlfn.XLOOKUP(C23,employee_data[EmployeeId], employee_data[EmployeeId], "", 0) = "", "No SupportRep Assigned", _xlfn.XLOOKUP(C23, employee_data[EmployeeId], employee_data[FirstName], "", 0)&amp;" "&amp;_xlfn.XLOOKUP(C23, employee_data[EmployeeId], employee_data[LastName], "", 0))</f>
        <v>Margaret Park</v>
      </c>
    </row>
    <row r="24" spans="1:10" x14ac:dyDescent="0.25">
      <c r="A24" s="3">
        <v>40</v>
      </c>
      <c r="B24" s="5" t="s">
        <v>220</v>
      </c>
      <c r="C24" s="3">
        <v>4</v>
      </c>
      <c r="D24" s="3">
        <v>38.619999999999997</v>
      </c>
      <c r="E24" t="str">
        <f>VLOOKUP(C24, employee_data[], 2, FALSE)</f>
        <v>Margaret</v>
      </c>
      <c r="F24" t="str">
        <f>VLOOKUP(C24, employee_data[], 3, FALSE)</f>
        <v>Park</v>
      </c>
      <c r="G24" t="str">
        <f t="shared" si="0"/>
        <v>Margaret Park</v>
      </c>
      <c r="H24" t="str">
        <f>IFERROR(VLOOKUP(C24,employee_data[],2,FALSE)&amp;" "&amp;VLOOKUP(C24,employee_data[],3,FALSE), "No SupportRep Assigned")</f>
        <v>Margaret Park</v>
      </c>
      <c r="I24" t="str">
        <f>_xlfn.XLOOKUP(C24,employee_data[EmployeeId],employee_data[FirstName],"",0)&amp;" "&amp;_xlfn.XLOOKUP(C24,employee_data[EmployeeId],employee_data[LastName],"Unknown",0)</f>
        <v>Margaret Park</v>
      </c>
      <c r="J24" t="str">
        <f>IF(_xlfn.XLOOKUP(C24,employee_data[EmployeeId], employee_data[EmployeeId], "", 0) = "", "No SupportRep Assigned", _xlfn.XLOOKUP(C24, employee_data[EmployeeId], employee_data[FirstName], "", 0)&amp;" "&amp;_xlfn.XLOOKUP(C24, employee_data[EmployeeId], employee_data[LastName], "", 0))</f>
        <v>Margaret Park</v>
      </c>
    </row>
    <row r="25" spans="1:10" x14ac:dyDescent="0.25">
      <c r="A25" s="4">
        <v>51</v>
      </c>
      <c r="B25" s="6" t="s">
        <v>221</v>
      </c>
      <c r="C25" s="4">
        <v>5</v>
      </c>
      <c r="D25" s="4">
        <v>38.619999999999997</v>
      </c>
      <c r="E25" t="str">
        <f>VLOOKUP(C25, employee_data[], 2, FALSE)</f>
        <v>Steve</v>
      </c>
      <c r="F25" t="str">
        <f>VLOOKUP(C25, employee_data[], 3, FALSE)</f>
        <v>Johnson</v>
      </c>
      <c r="G25" t="str">
        <f t="shared" si="0"/>
        <v>Steve Johnson</v>
      </c>
      <c r="H25" t="str">
        <f>IFERROR(VLOOKUP(C25,employee_data[],2,FALSE)&amp;" "&amp;VLOOKUP(C25,employee_data[],3,FALSE), "No SupportRep Assigned")</f>
        <v>Steve Johnson</v>
      </c>
      <c r="I25" t="str">
        <f>_xlfn.XLOOKUP(C25,employee_data[EmployeeId],employee_data[FirstName],"",0)&amp;" "&amp;_xlfn.XLOOKUP(C25,employee_data[EmployeeId],employee_data[LastName],"Unknown",0)</f>
        <v>Steve Johnson</v>
      </c>
      <c r="J25" t="str">
        <f>IF(_xlfn.XLOOKUP(C25,employee_data[EmployeeId], employee_data[EmployeeId], "", 0) = "", "No SupportRep Assigned", _xlfn.XLOOKUP(C25, employee_data[EmployeeId], employee_data[FirstName], "", 0)&amp;" "&amp;_xlfn.XLOOKUP(C25, employee_data[EmployeeId], employee_data[LastName], "", 0))</f>
        <v>Steve Johnson</v>
      </c>
    </row>
    <row r="26" spans="1:10" x14ac:dyDescent="0.25">
      <c r="A26" s="3">
        <v>15</v>
      </c>
      <c r="B26" s="5" t="s">
        <v>222</v>
      </c>
      <c r="C26" s="3">
        <v>3</v>
      </c>
      <c r="D26" s="3">
        <v>38.619999999999997</v>
      </c>
      <c r="E26" t="str">
        <f>VLOOKUP(C26, employee_data[], 2, FALSE)</f>
        <v>Jane</v>
      </c>
      <c r="F26" t="str">
        <f>VLOOKUP(C26, employee_data[], 3, FALSE)</f>
        <v>Peacock</v>
      </c>
      <c r="G26" t="str">
        <f t="shared" si="0"/>
        <v>Jane Peacock</v>
      </c>
      <c r="H26" t="str">
        <f>IFERROR(VLOOKUP(C26,employee_data[],2,FALSE)&amp;" "&amp;VLOOKUP(C26,employee_data[],3,FALSE), "No SupportRep Assigned")</f>
        <v>Jane Peacock</v>
      </c>
      <c r="I26" t="str">
        <f>_xlfn.XLOOKUP(C26,employee_data[EmployeeId],employee_data[FirstName],"",0)&amp;" "&amp;_xlfn.XLOOKUP(C26,employee_data[EmployeeId],employee_data[LastName],"Unknown",0)</f>
        <v>Jane Peacock</v>
      </c>
      <c r="J26" t="str">
        <f>IF(_xlfn.XLOOKUP(C26,employee_data[EmployeeId], employee_data[EmployeeId], "", 0) = "", "No SupportRep Assigned", _xlfn.XLOOKUP(C26, employee_data[EmployeeId], employee_data[FirstName], "", 0)&amp;" "&amp;_xlfn.XLOOKUP(C26, employee_data[EmployeeId], employee_data[LastName], "", 0))</f>
        <v>Jane Peacock</v>
      </c>
    </row>
    <row r="27" spans="1:10" x14ac:dyDescent="0.25">
      <c r="A27" s="4">
        <v>19</v>
      </c>
      <c r="B27" s="6" t="s">
        <v>223</v>
      </c>
      <c r="C27" s="4">
        <v>3</v>
      </c>
      <c r="D27" s="4">
        <v>38.619999999999997</v>
      </c>
      <c r="E27" t="str">
        <f>VLOOKUP(C27, employee_data[], 2, FALSE)</f>
        <v>Jane</v>
      </c>
      <c r="F27" t="str">
        <f>VLOOKUP(C27, employee_data[], 3, FALSE)</f>
        <v>Peacock</v>
      </c>
      <c r="G27" t="str">
        <f t="shared" si="0"/>
        <v>Jane Peacock</v>
      </c>
      <c r="H27" t="str">
        <f>IFERROR(VLOOKUP(C27,employee_data[],2,FALSE)&amp;" "&amp;VLOOKUP(C27,employee_data[],3,FALSE), "No SupportRep Assigned")</f>
        <v>Jane Peacock</v>
      </c>
      <c r="I27" t="str">
        <f>_xlfn.XLOOKUP(C27,employee_data[EmployeeId],employee_data[FirstName],"",0)&amp;" "&amp;_xlfn.XLOOKUP(C27,employee_data[EmployeeId],employee_data[LastName],"Unknown",0)</f>
        <v>Jane Peacock</v>
      </c>
      <c r="J27" t="str">
        <f>IF(_xlfn.XLOOKUP(C27,employee_data[EmployeeId], employee_data[EmployeeId], "", 0) = "", "No SupportRep Assigned", _xlfn.XLOOKUP(C27, employee_data[EmployeeId], employee_data[FirstName], "", 0)&amp;" "&amp;_xlfn.XLOOKUP(C27, employee_data[EmployeeId], employee_data[LastName], "", 0))</f>
        <v>Jane Peacock</v>
      </c>
    </row>
    <row r="28" spans="1:10" x14ac:dyDescent="0.25">
      <c r="A28" s="3">
        <v>39</v>
      </c>
      <c r="B28" s="5" t="s">
        <v>224</v>
      </c>
      <c r="C28" s="3">
        <v>4</v>
      </c>
      <c r="D28" s="3">
        <v>38.619999999999997</v>
      </c>
      <c r="E28" t="str">
        <f>VLOOKUP(C28, employee_data[], 2, FALSE)</f>
        <v>Margaret</v>
      </c>
      <c r="F28" t="str">
        <f>VLOOKUP(C28, employee_data[], 3, FALSE)</f>
        <v>Park</v>
      </c>
      <c r="G28" t="str">
        <f t="shared" si="0"/>
        <v>Margaret Park</v>
      </c>
      <c r="H28" t="str">
        <f>IFERROR(VLOOKUP(C28,employee_data[],2,FALSE)&amp;" "&amp;VLOOKUP(C28,employee_data[],3,FALSE), "No SupportRep Assigned")</f>
        <v>Margaret Park</v>
      </c>
      <c r="I28" t="str">
        <f>_xlfn.XLOOKUP(C28,employee_data[EmployeeId],employee_data[FirstName],"",0)&amp;" "&amp;_xlfn.XLOOKUP(C28,employee_data[EmployeeId],employee_data[LastName],"Unknown",0)</f>
        <v>Margaret Park</v>
      </c>
      <c r="J28" t="str">
        <f>IF(_xlfn.XLOOKUP(C28,employee_data[EmployeeId], employee_data[EmployeeId], "", 0) = "", "No SupportRep Assigned", _xlfn.XLOOKUP(C28, employee_data[EmployeeId], employee_data[FirstName], "", 0)&amp;" "&amp;_xlfn.XLOOKUP(C28, employee_data[EmployeeId], employee_data[LastName], "", 0))</f>
        <v>Margaret Park</v>
      </c>
    </row>
    <row r="29" spans="1:10" x14ac:dyDescent="0.25">
      <c r="A29" s="4">
        <v>58</v>
      </c>
      <c r="B29" s="6" t="s">
        <v>225</v>
      </c>
      <c r="C29" s="4">
        <v>3</v>
      </c>
      <c r="D29" s="4">
        <v>38.619999999999997</v>
      </c>
      <c r="E29" t="str">
        <f>VLOOKUP(C29, employee_data[], 2, FALSE)</f>
        <v>Jane</v>
      </c>
      <c r="F29" t="str">
        <f>VLOOKUP(C29, employee_data[], 3, FALSE)</f>
        <v>Peacock</v>
      </c>
      <c r="G29" t="str">
        <f t="shared" si="0"/>
        <v>Jane Peacock</v>
      </c>
      <c r="H29" t="str">
        <f>IFERROR(VLOOKUP(C29,employee_data[],2,FALSE)&amp;" "&amp;VLOOKUP(C29,employee_data[],3,FALSE), "No SupportRep Assigned")</f>
        <v>Jane Peacock</v>
      </c>
      <c r="I29" t="str">
        <f>_xlfn.XLOOKUP(C29,employee_data[EmployeeId],employee_data[FirstName],"",0)&amp;" "&amp;_xlfn.XLOOKUP(C29,employee_data[EmployeeId],employee_data[LastName],"Unknown",0)</f>
        <v>Jane Peacock</v>
      </c>
      <c r="J29" t="str">
        <f>IF(_xlfn.XLOOKUP(C29,employee_data[EmployeeId], employee_data[EmployeeId], "", 0) = "", "No SupportRep Assigned", _xlfn.XLOOKUP(C29, employee_data[EmployeeId], employee_data[FirstName], "", 0)&amp;" "&amp;_xlfn.XLOOKUP(C29, employee_data[EmployeeId], employee_data[LastName], "", 0))</f>
        <v>Jane Peacock</v>
      </c>
    </row>
    <row r="30" spans="1:10" x14ac:dyDescent="0.25">
      <c r="A30" s="3">
        <v>13</v>
      </c>
      <c r="B30" s="5" t="s">
        <v>226</v>
      </c>
      <c r="C30" s="3">
        <v>4</v>
      </c>
      <c r="D30" s="3">
        <v>37.619999999999997</v>
      </c>
      <c r="E30" t="str">
        <f>VLOOKUP(C30, employee_data[], 2, FALSE)</f>
        <v>Margaret</v>
      </c>
      <c r="F30" t="str">
        <f>VLOOKUP(C30, employee_data[], 3, FALSE)</f>
        <v>Park</v>
      </c>
      <c r="G30" t="str">
        <f t="shared" si="0"/>
        <v>Margaret Park</v>
      </c>
      <c r="H30" t="str">
        <f>IFERROR(VLOOKUP(C30,employee_data[],2,FALSE)&amp;" "&amp;VLOOKUP(C30,employee_data[],3,FALSE), "No SupportRep Assigned")</f>
        <v>Margaret Park</v>
      </c>
      <c r="I30" t="str">
        <f>_xlfn.XLOOKUP(C30,employee_data[EmployeeId],employee_data[FirstName],"",0)&amp;" "&amp;_xlfn.XLOOKUP(C30,employee_data[EmployeeId],employee_data[LastName],"Unknown",0)</f>
        <v>Margaret Park</v>
      </c>
      <c r="J30" t="str">
        <f>IF(_xlfn.XLOOKUP(C30,employee_data[EmployeeId], employee_data[EmployeeId], "", 0) = "", "No SupportRep Assigned", _xlfn.XLOOKUP(C30, employee_data[EmployeeId], employee_data[FirstName], "", 0)&amp;" "&amp;_xlfn.XLOOKUP(C30, employee_data[EmployeeId], employee_data[LastName], "", 0))</f>
        <v>Margaret Park</v>
      </c>
    </row>
    <row r="31" spans="1:10" x14ac:dyDescent="0.25">
      <c r="A31" s="4">
        <v>2</v>
      </c>
      <c r="B31" s="6" t="s">
        <v>227</v>
      </c>
      <c r="C31" s="4">
        <v>5</v>
      </c>
      <c r="D31" s="4">
        <v>37.619999999999997</v>
      </c>
      <c r="E31" t="str">
        <f>VLOOKUP(C31, employee_data[], 2, FALSE)</f>
        <v>Steve</v>
      </c>
      <c r="F31" t="str">
        <f>VLOOKUP(C31, employee_data[], 3, FALSE)</f>
        <v>Johnson</v>
      </c>
      <c r="G31" t="str">
        <f t="shared" si="0"/>
        <v>Steve Johnson</v>
      </c>
      <c r="H31" t="str">
        <f>IFERROR(VLOOKUP(C31,employee_data[],2,FALSE)&amp;" "&amp;VLOOKUP(C31,employee_data[],3,FALSE), "No SupportRep Assigned")</f>
        <v>Steve Johnson</v>
      </c>
      <c r="I31" t="str">
        <f>_xlfn.XLOOKUP(C31,employee_data[EmployeeId],employee_data[FirstName],"",0)&amp;" "&amp;_xlfn.XLOOKUP(C31,employee_data[EmployeeId],employee_data[LastName],"Unknown",0)</f>
        <v>Steve Johnson</v>
      </c>
      <c r="J31" t="str">
        <f>IF(_xlfn.XLOOKUP(C31,employee_data[EmployeeId], employee_data[EmployeeId], "", 0) = "", "No SupportRep Assigned", _xlfn.XLOOKUP(C31, employee_data[EmployeeId], employee_data[FirstName], "", 0)&amp;" "&amp;_xlfn.XLOOKUP(C31, employee_data[EmployeeId], employee_data[LastName], "", 0))</f>
        <v>Steve Johnson</v>
      </c>
    </row>
    <row r="32" spans="1:10" x14ac:dyDescent="0.25">
      <c r="A32" s="3">
        <v>50</v>
      </c>
      <c r="B32" s="5" t="s">
        <v>228</v>
      </c>
      <c r="C32" s="3">
        <v>5</v>
      </c>
      <c r="D32" s="3">
        <v>37.619999999999997</v>
      </c>
      <c r="E32" t="str">
        <f>VLOOKUP(C32, employee_data[], 2, FALSE)</f>
        <v>Steve</v>
      </c>
      <c r="F32" t="str">
        <f>VLOOKUP(C32, employee_data[], 3, FALSE)</f>
        <v>Johnson</v>
      </c>
      <c r="G32" t="str">
        <f t="shared" si="0"/>
        <v>Steve Johnson</v>
      </c>
      <c r="H32" t="str">
        <f>IFERROR(VLOOKUP(C32,employee_data[],2,FALSE)&amp;" "&amp;VLOOKUP(C32,employee_data[],3,FALSE), "No SupportRep Assigned")</f>
        <v>Steve Johnson</v>
      </c>
      <c r="I32" t="str">
        <f>_xlfn.XLOOKUP(C32,employee_data[EmployeeId],employee_data[FirstName],"",0)&amp;" "&amp;_xlfn.XLOOKUP(C32,employee_data[EmployeeId],employee_data[LastName],"Unknown",0)</f>
        <v>Steve Johnson</v>
      </c>
      <c r="J32" t="str">
        <f>IF(_xlfn.XLOOKUP(C32,employee_data[EmployeeId], employee_data[EmployeeId], "", 0) = "", "No SupportRep Assigned", _xlfn.XLOOKUP(C32, employee_data[EmployeeId], employee_data[FirstName], "", 0)&amp;" "&amp;_xlfn.XLOOKUP(C32, employee_data[EmployeeId], employee_data[LastName], "", 0))</f>
        <v>Steve Johnson</v>
      </c>
    </row>
    <row r="33" spans="1:10" x14ac:dyDescent="0.25">
      <c r="A33" s="4">
        <v>53</v>
      </c>
      <c r="B33" s="6" t="s">
        <v>229</v>
      </c>
      <c r="C33" s="4">
        <v>3</v>
      </c>
      <c r="D33" s="4">
        <v>37.619999999999997</v>
      </c>
      <c r="E33" t="str">
        <f>VLOOKUP(C33, employee_data[], 2, FALSE)</f>
        <v>Jane</v>
      </c>
      <c r="F33" t="str">
        <f>VLOOKUP(C33, employee_data[], 3, FALSE)</f>
        <v>Peacock</v>
      </c>
      <c r="G33" t="str">
        <f t="shared" si="0"/>
        <v>Jane Peacock</v>
      </c>
      <c r="H33" t="str">
        <f>IFERROR(VLOOKUP(C33,employee_data[],2,FALSE)&amp;" "&amp;VLOOKUP(C33,employee_data[],3,FALSE), "No SupportRep Assigned")</f>
        <v>Jane Peacock</v>
      </c>
      <c r="I33" t="str">
        <f>_xlfn.XLOOKUP(C33,employee_data[EmployeeId],employee_data[FirstName],"",0)&amp;" "&amp;_xlfn.XLOOKUP(C33,employee_data[EmployeeId],employee_data[LastName],"Unknown",0)</f>
        <v>Jane Peacock</v>
      </c>
      <c r="J33" t="str">
        <f>IF(_xlfn.XLOOKUP(C33,employee_data[EmployeeId], employee_data[EmployeeId], "", 0) = "", "No SupportRep Assigned", _xlfn.XLOOKUP(C33, employee_data[EmployeeId], employee_data[FirstName], "", 0)&amp;" "&amp;_xlfn.XLOOKUP(C33, employee_data[EmployeeId], employee_data[LastName], "", 0))</f>
        <v>Jane Peacock</v>
      </c>
    </row>
    <row r="34" spans="1:10" x14ac:dyDescent="0.25">
      <c r="A34" s="3">
        <v>8</v>
      </c>
      <c r="B34" s="5" t="s">
        <v>230</v>
      </c>
      <c r="C34" s="3">
        <v>4</v>
      </c>
      <c r="D34" s="3">
        <v>37.619999999999997</v>
      </c>
      <c r="E34" t="str">
        <f>VLOOKUP(C34, employee_data[], 2, FALSE)</f>
        <v>Margaret</v>
      </c>
      <c r="F34" t="str">
        <f>VLOOKUP(C34, employee_data[], 3, FALSE)</f>
        <v>Park</v>
      </c>
      <c r="G34" t="str">
        <f t="shared" si="0"/>
        <v>Margaret Park</v>
      </c>
      <c r="H34" t="str">
        <f>IFERROR(VLOOKUP(C34,employee_data[],2,FALSE)&amp;" "&amp;VLOOKUP(C34,employee_data[],3,FALSE), "No SupportRep Assigned")</f>
        <v>Margaret Park</v>
      </c>
      <c r="I34" t="str">
        <f>_xlfn.XLOOKUP(C34,employee_data[EmployeeId],employee_data[FirstName],"",0)&amp;" "&amp;_xlfn.XLOOKUP(C34,employee_data[EmployeeId],employee_data[LastName],"Unknown",0)</f>
        <v>Margaret Park</v>
      </c>
      <c r="J34" t="str">
        <f>IF(_xlfn.XLOOKUP(C34,employee_data[EmployeeId], employee_data[EmployeeId], "", 0) = "", "No SupportRep Assigned", _xlfn.XLOOKUP(C34, employee_data[EmployeeId], employee_data[FirstName], "", 0)&amp;" "&amp;_xlfn.XLOOKUP(C34, employee_data[EmployeeId], employee_data[LastName], "", 0))</f>
        <v>Margaret Park</v>
      </c>
    </row>
    <row r="35" spans="1:10" x14ac:dyDescent="0.25">
      <c r="A35" s="4">
        <v>29</v>
      </c>
      <c r="B35" s="6" t="s">
        <v>231</v>
      </c>
      <c r="C35" s="4">
        <v>3</v>
      </c>
      <c r="D35" s="4">
        <v>37.619999999999997</v>
      </c>
      <c r="E35" t="str">
        <f>VLOOKUP(C35, employee_data[], 2, FALSE)</f>
        <v>Jane</v>
      </c>
      <c r="F35" t="str">
        <f>VLOOKUP(C35, employee_data[], 3, FALSE)</f>
        <v>Peacock</v>
      </c>
      <c r="G35" t="str">
        <f t="shared" si="0"/>
        <v>Jane Peacock</v>
      </c>
      <c r="H35" t="str">
        <f>IFERROR(VLOOKUP(C35,employee_data[],2,FALSE)&amp;" "&amp;VLOOKUP(C35,employee_data[],3,FALSE), "No SupportRep Assigned")</f>
        <v>Jane Peacock</v>
      </c>
      <c r="I35" t="str">
        <f>_xlfn.XLOOKUP(C35,employee_data[EmployeeId],employee_data[FirstName],"",0)&amp;" "&amp;_xlfn.XLOOKUP(C35,employee_data[EmployeeId],employee_data[LastName],"Unknown",0)</f>
        <v>Jane Peacock</v>
      </c>
      <c r="J35" t="str">
        <f>IF(_xlfn.XLOOKUP(C35,employee_data[EmployeeId], employee_data[EmployeeId], "", 0) = "", "No SupportRep Assigned", _xlfn.XLOOKUP(C35, employee_data[EmployeeId], employee_data[FirstName], "", 0)&amp;" "&amp;_xlfn.XLOOKUP(C35, employee_data[EmployeeId], employee_data[LastName], "", 0))</f>
        <v>Jane Peacock</v>
      </c>
    </row>
    <row r="36" spans="1:10" x14ac:dyDescent="0.25">
      <c r="A36" s="3">
        <v>30</v>
      </c>
      <c r="B36" s="5" t="s">
        <v>232</v>
      </c>
      <c r="C36" s="3">
        <v>3</v>
      </c>
      <c r="D36" s="3">
        <v>37.619999999999997</v>
      </c>
      <c r="E36" t="str">
        <f>VLOOKUP(C36, employee_data[], 2, FALSE)</f>
        <v>Jane</v>
      </c>
      <c r="F36" t="str">
        <f>VLOOKUP(C36, employee_data[], 3, FALSE)</f>
        <v>Peacock</v>
      </c>
      <c r="G36" t="str">
        <f t="shared" si="0"/>
        <v>Jane Peacock</v>
      </c>
      <c r="H36" t="str">
        <f>IFERROR(VLOOKUP(C36,employee_data[],2,FALSE)&amp;" "&amp;VLOOKUP(C36,employee_data[],3,FALSE), "No SupportRep Assigned")</f>
        <v>Jane Peacock</v>
      </c>
      <c r="I36" t="str">
        <f>_xlfn.XLOOKUP(C36,employee_data[EmployeeId],employee_data[FirstName],"",0)&amp;" "&amp;_xlfn.XLOOKUP(C36,employee_data[EmployeeId],employee_data[LastName],"Unknown",0)</f>
        <v>Jane Peacock</v>
      </c>
      <c r="J36" t="str">
        <f>IF(_xlfn.XLOOKUP(C36,employee_data[EmployeeId], employee_data[EmployeeId], "", 0) = "", "No SupportRep Assigned", _xlfn.XLOOKUP(C36, employee_data[EmployeeId], employee_data[FirstName], "", 0)&amp;" "&amp;_xlfn.XLOOKUP(C36, employee_data[EmployeeId], employee_data[LastName], "", 0))</f>
        <v>Jane Peacock</v>
      </c>
    </row>
    <row r="37" spans="1:10" x14ac:dyDescent="0.25">
      <c r="A37" s="4">
        <v>32</v>
      </c>
      <c r="B37" s="6" t="s">
        <v>233</v>
      </c>
      <c r="C37" s="4">
        <v>4</v>
      </c>
      <c r="D37" s="4">
        <v>37.619999999999997</v>
      </c>
      <c r="E37" t="str">
        <f>VLOOKUP(C37, employee_data[], 2, FALSE)</f>
        <v>Margaret</v>
      </c>
      <c r="F37" t="str">
        <f>VLOOKUP(C37, employee_data[], 3, FALSE)</f>
        <v>Park</v>
      </c>
      <c r="G37" t="str">
        <f t="shared" si="0"/>
        <v>Margaret Park</v>
      </c>
      <c r="H37" t="str">
        <f>IFERROR(VLOOKUP(C37,employee_data[],2,FALSE)&amp;" "&amp;VLOOKUP(C37,employee_data[],3,FALSE), "No SupportRep Assigned")</f>
        <v>Margaret Park</v>
      </c>
      <c r="I37" t="str">
        <f>_xlfn.XLOOKUP(C37,employee_data[EmployeeId],employee_data[FirstName],"",0)&amp;" "&amp;_xlfn.XLOOKUP(C37,employee_data[EmployeeId],employee_data[LastName],"Unknown",0)</f>
        <v>Margaret Park</v>
      </c>
      <c r="J37" t="str">
        <f>IF(_xlfn.XLOOKUP(C37,employee_data[EmployeeId], employee_data[EmployeeId], "", 0) = "", "No SupportRep Assigned", _xlfn.XLOOKUP(C37, employee_data[EmployeeId], employee_data[FirstName], "", 0)&amp;" "&amp;_xlfn.XLOOKUP(C37, employee_data[EmployeeId], employee_data[LastName], "", 0))</f>
        <v>Margaret Park</v>
      </c>
    </row>
    <row r="38" spans="1:10" x14ac:dyDescent="0.25">
      <c r="A38" s="3">
        <v>14</v>
      </c>
      <c r="B38" s="5" t="s">
        <v>234</v>
      </c>
      <c r="C38" s="3">
        <v>5</v>
      </c>
      <c r="D38" s="3">
        <v>37.619999999999997</v>
      </c>
      <c r="E38" t="str">
        <f>VLOOKUP(C38, employee_data[], 2, FALSE)</f>
        <v>Steve</v>
      </c>
      <c r="F38" t="str">
        <f>VLOOKUP(C38, employee_data[], 3, FALSE)</f>
        <v>Johnson</v>
      </c>
      <c r="G38" t="str">
        <f t="shared" si="0"/>
        <v>Steve Johnson</v>
      </c>
      <c r="H38" t="str">
        <f>IFERROR(VLOOKUP(C38,employee_data[],2,FALSE)&amp;" "&amp;VLOOKUP(C38,employee_data[],3,FALSE), "No SupportRep Assigned")</f>
        <v>Steve Johnson</v>
      </c>
      <c r="I38" t="str">
        <f>_xlfn.XLOOKUP(C38,employee_data[EmployeeId],employee_data[FirstName],"",0)&amp;" "&amp;_xlfn.XLOOKUP(C38,employee_data[EmployeeId],employee_data[LastName],"Unknown",0)</f>
        <v>Steve Johnson</v>
      </c>
      <c r="J38" t="str">
        <f>IF(_xlfn.XLOOKUP(C38,employee_data[EmployeeId], employee_data[EmployeeId], "", 0) = "", "No SupportRep Assigned", _xlfn.XLOOKUP(C38, employee_data[EmployeeId], employee_data[FirstName], "", 0)&amp;" "&amp;_xlfn.XLOOKUP(C38, employee_data[EmployeeId], employee_data[LastName], "", 0))</f>
        <v>Steve Johnson</v>
      </c>
    </row>
    <row r="39" spans="1:10" x14ac:dyDescent="0.25">
      <c r="A39" s="4">
        <v>9</v>
      </c>
      <c r="B39" s="6" t="s">
        <v>235</v>
      </c>
      <c r="C39" s="4">
        <v>4</v>
      </c>
      <c r="D39" s="4">
        <v>37.619999999999997</v>
      </c>
      <c r="E39" t="str">
        <f>VLOOKUP(C39, employee_data[], 2, FALSE)</f>
        <v>Margaret</v>
      </c>
      <c r="F39" t="str">
        <f>VLOOKUP(C39, employee_data[], 3, FALSE)</f>
        <v>Park</v>
      </c>
      <c r="G39" t="str">
        <f t="shared" si="0"/>
        <v>Margaret Park</v>
      </c>
      <c r="H39" t="str">
        <f>IFERROR(VLOOKUP(C39,employee_data[],2,FALSE)&amp;" "&amp;VLOOKUP(C39,employee_data[],3,FALSE), "No SupportRep Assigned")</f>
        <v>Margaret Park</v>
      </c>
      <c r="I39" t="str">
        <f>_xlfn.XLOOKUP(C39,employee_data[EmployeeId],employee_data[FirstName],"",0)&amp;" "&amp;_xlfn.XLOOKUP(C39,employee_data[EmployeeId],employee_data[LastName],"Unknown",0)</f>
        <v>Margaret Park</v>
      </c>
      <c r="J39" t="str">
        <f>IF(_xlfn.XLOOKUP(C39,employee_data[EmployeeId], employee_data[EmployeeId], "", 0) = "", "No SupportRep Assigned", _xlfn.XLOOKUP(C39, employee_data[EmployeeId], employee_data[FirstName], "", 0)&amp;" "&amp;_xlfn.XLOOKUP(C39, employee_data[EmployeeId], employee_data[LastName], "", 0))</f>
        <v>Margaret Park</v>
      </c>
    </row>
    <row r="40" spans="1:10" x14ac:dyDescent="0.25">
      <c r="A40" s="3">
        <v>11</v>
      </c>
      <c r="B40" s="5" t="s">
        <v>236</v>
      </c>
      <c r="C40" s="3">
        <v>5</v>
      </c>
      <c r="D40" s="3">
        <v>37.619999999999997</v>
      </c>
      <c r="E40" t="str">
        <f>VLOOKUP(C40, employee_data[], 2, FALSE)</f>
        <v>Steve</v>
      </c>
      <c r="F40" t="str">
        <f>VLOOKUP(C40, employee_data[], 3, FALSE)</f>
        <v>Johnson</v>
      </c>
      <c r="G40" t="str">
        <f t="shared" si="0"/>
        <v>Steve Johnson</v>
      </c>
      <c r="H40" t="str">
        <f>IFERROR(VLOOKUP(C40,employee_data[],2,FALSE)&amp;" "&amp;VLOOKUP(C40,employee_data[],3,FALSE), "No SupportRep Assigned")</f>
        <v>Steve Johnson</v>
      </c>
      <c r="I40" t="str">
        <f>_xlfn.XLOOKUP(C40,employee_data[EmployeeId],employee_data[FirstName],"",0)&amp;" "&amp;_xlfn.XLOOKUP(C40,employee_data[EmployeeId],employee_data[LastName],"Unknown",0)</f>
        <v>Steve Johnson</v>
      </c>
      <c r="J40" t="str">
        <f>IF(_xlfn.XLOOKUP(C40,employee_data[EmployeeId], employee_data[EmployeeId], "", 0) = "", "No SupportRep Assigned", _xlfn.XLOOKUP(C40, employee_data[EmployeeId], employee_data[FirstName], "", 0)&amp;" "&amp;_xlfn.XLOOKUP(C40, employee_data[EmployeeId], employee_data[LastName], "", 0))</f>
        <v>Steve Johnson</v>
      </c>
    </row>
    <row r="41" spans="1:10" x14ac:dyDescent="0.25">
      <c r="A41" s="4">
        <v>47</v>
      </c>
      <c r="B41" s="6" t="s">
        <v>237</v>
      </c>
      <c r="C41" s="4">
        <v>5</v>
      </c>
      <c r="D41" s="4">
        <v>37.619999999999997</v>
      </c>
      <c r="E41" t="str">
        <f>VLOOKUP(C41, employee_data[], 2, FALSE)</f>
        <v>Steve</v>
      </c>
      <c r="F41" t="str">
        <f>VLOOKUP(C41, employee_data[], 3, FALSE)</f>
        <v>Johnson</v>
      </c>
      <c r="G41" t="str">
        <f t="shared" si="0"/>
        <v>Steve Johnson</v>
      </c>
      <c r="H41" t="str">
        <f>IFERROR(VLOOKUP(C41,employee_data[],2,FALSE)&amp;" "&amp;VLOOKUP(C41,employee_data[],3,FALSE), "No SupportRep Assigned")</f>
        <v>Steve Johnson</v>
      </c>
      <c r="I41" t="str">
        <f>_xlfn.XLOOKUP(C41,employee_data[EmployeeId],employee_data[FirstName],"",0)&amp;" "&amp;_xlfn.XLOOKUP(C41,employee_data[EmployeeId],employee_data[LastName],"Unknown",0)</f>
        <v>Steve Johnson</v>
      </c>
      <c r="J41" t="str">
        <f>IF(_xlfn.XLOOKUP(C41,employee_data[EmployeeId], employee_data[EmployeeId], "", 0) = "", "No SupportRep Assigned", _xlfn.XLOOKUP(C41, employee_data[EmployeeId], employee_data[FirstName], "", 0)&amp;" "&amp;_xlfn.XLOOKUP(C41, employee_data[EmployeeId], employee_data[LastName], "", 0))</f>
        <v>Steve Johnson</v>
      </c>
    </row>
    <row r="42" spans="1:10" x14ac:dyDescent="0.25">
      <c r="A42" s="3">
        <v>49</v>
      </c>
      <c r="B42" s="5" t="s">
        <v>238</v>
      </c>
      <c r="C42" s="3">
        <v>4</v>
      </c>
      <c r="D42" s="3">
        <v>37.619999999999997</v>
      </c>
      <c r="E42" t="str">
        <f>VLOOKUP(C42, employee_data[], 2, FALSE)</f>
        <v>Margaret</v>
      </c>
      <c r="F42" t="str">
        <f>VLOOKUP(C42, employee_data[], 3, FALSE)</f>
        <v>Park</v>
      </c>
      <c r="G42" t="str">
        <f t="shared" si="0"/>
        <v>Margaret Park</v>
      </c>
      <c r="H42" t="str">
        <f>IFERROR(VLOOKUP(C42,employee_data[],2,FALSE)&amp;" "&amp;VLOOKUP(C42,employee_data[],3,FALSE), "No SupportRep Assigned")</f>
        <v>Margaret Park</v>
      </c>
      <c r="I42" t="str">
        <f>_xlfn.XLOOKUP(C42,employee_data[EmployeeId],employee_data[FirstName],"",0)&amp;" "&amp;_xlfn.XLOOKUP(C42,employee_data[EmployeeId],employee_data[LastName],"Unknown",0)</f>
        <v>Margaret Park</v>
      </c>
      <c r="J42" t="str">
        <f>IF(_xlfn.XLOOKUP(C42,employee_data[EmployeeId], employee_data[EmployeeId], "", 0) = "", "No SupportRep Assigned", _xlfn.XLOOKUP(C42, employee_data[EmployeeId], employee_data[FirstName], "", 0)&amp;" "&amp;_xlfn.XLOOKUP(C42, employee_data[EmployeeId], employee_data[LastName], "", 0))</f>
        <v>Margaret Park</v>
      </c>
    </row>
    <row r="43" spans="1:10" x14ac:dyDescent="0.25">
      <c r="A43" s="4">
        <v>23</v>
      </c>
      <c r="B43" s="6" t="s">
        <v>239</v>
      </c>
      <c r="C43" s="4">
        <v>4</v>
      </c>
      <c r="D43" s="4">
        <v>37.619999999999997</v>
      </c>
      <c r="E43" t="str">
        <f>VLOOKUP(C43, employee_data[], 2, FALSE)</f>
        <v>Margaret</v>
      </c>
      <c r="F43" t="str">
        <f>VLOOKUP(C43, employee_data[], 3, FALSE)</f>
        <v>Park</v>
      </c>
      <c r="G43" t="str">
        <f t="shared" si="0"/>
        <v>Margaret Park</v>
      </c>
      <c r="H43" t="str">
        <f>IFERROR(VLOOKUP(C43,employee_data[],2,FALSE)&amp;" "&amp;VLOOKUP(C43,employee_data[],3,FALSE), "No SupportRep Assigned")</f>
        <v>Margaret Park</v>
      </c>
      <c r="I43" t="str">
        <f>_xlfn.XLOOKUP(C43,employee_data[EmployeeId],employee_data[FirstName],"",0)&amp;" "&amp;_xlfn.XLOOKUP(C43,employee_data[EmployeeId],employee_data[LastName],"Unknown",0)</f>
        <v>Margaret Park</v>
      </c>
      <c r="J43" t="str">
        <f>IF(_xlfn.XLOOKUP(C43,employee_data[EmployeeId], employee_data[EmployeeId], "", 0) = "", "No SupportRep Assigned", _xlfn.XLOOKUP(C43, employee_data[EmployeeId], employee_data[FirstName], "", 0)&amp;" "&amp;_xlfn.XLOOKUP(C43, employee_data[EmployeeId], employee_data[LastName], "", 0))</f>
        <v>Margaret Park</v>
      </c>
    </row>
    <row r="44" spans="1:10" x14ac:dyDescent="0.25">
      <c r="A44" s="3">
        <v>38</v>
      </c>
      <c r="B44" s="5" t="s">
        <v>240</v>
      </c>
      <c r="C44" s="3">
        <v>3</v>
      </c>
      <c r="D44" s="3">
        <v>37.619999999999997</v>
      </c>
      <c r="E44" t="str">
        <f>VLOOKUP(C44, employee_data[], 2, FALSE)</f>
        <v>Jane</v>
      </c>
      <c r="F44" t="str">
        <f>VLOOKUP(C44, employee_data[], 3, FALSE)</f>
        <v>Peacock</v>
      </c>
      <c r="G44" t="str">
        <f t="shared" si="0"/>
        <v>Jane Peacock</v>
      </c>
      <c r="H44" t="str">
        <f>IFERROR(VLOOKUP(C44,employee_data[],2,FALSE)&amp;" "&amp;VLOOKUP(C44,employee_data[],3,FALSE), "No SupportRep Assigned")</f>
        <v>Jane Peacock</v>
      </c>
      <c r="I44" t="str">
        <f>_xlfn.XLOOKUP(C44,employee_data[EmployeeId],employee_data[FirstName],"",0)&amp;" "&amp;_xlfn.XLOOKUP(C44,employee_data[EmployeeId],employee_data[LastName],"Unknown",0)</f>
        <v>Jane Peacock</v>
      </c>
      <c r="J44" t="str">
        <f>IF(_xlfn.XLOOKUP(C44,employee_data[EmployeeId], employee_data[EmployeeId], "", 0) = "", "No SupportRep Assigned", _xlfn.XLOOKUP(C44, employee_data[EmployeeId], employee_data[FirstName], "", 0)&amp;" "&amp;_xlfn.XLOOKUP(C44, employee_data[EmployeeId], employee_data[LastName], "", 0))</f>
        <v>Jane Peacock</v>
      </c>
    </row>
    <row r="45" spans="1:10" x14ac:dyDescent="0.25">
      <c r="A45" s="4">
        <v>52</v>
      </c>
      <c r="B45" s="6" t="s">
        <v>241</v>
      </c>
      <c r="C45" s="4">
        <v>3</v>
      </c>
      <c r="D45" s="4">
        <v>37.619999999999997</v>
      </c>
      <c r="E45" t="str">
        <f>VLOOKUP(C45, employee_data[], 2, FALSE)</f>
        <v>Jane</v>
      </c>
      <c r="F45" t="str">
        <f>VLOOKUP(C45, employee_data[], 3, FALSE)</f>
        <v>Peacock</v>
      </c>
      <c r="G45" t="str">
        <f t="shared" si="0"/>
        <v>Jane Peacock</v>
      </c>
      <c r="H45" t="str">
        <f>IFERROR(VLOOKUP(C45,employee_data[],2,FALSE)&amp;" "&amp;VLOOKUP(C45,employee_data[],3,FALSE), "No SupportRep Assigned")</f>
        <v>Jane Peacock</v>
      </c>
      <c r="I45" t="str">
        <f>_xlfn.XLOOKUP(C45,employee_data[EmployeeId],employee_data[FirstName],"",0)&amp;" "&amp;_xlfn.XLOOKUP(C45,employee_data[EmployeeId],employee_data[LastName],"Unknown",0)</f>
        <v>Jane Peacock</v>
      </c>
      <c r="J45" t="str">
        <f>IF(_xlfn.XLOOKUP(C45,employee_data[EmployeeId], employee_data[EmployeeId], "", 0) = "", "No SupportRep Assigned", _xlfn.XLOOKUP(C45, employee_data[EmployeeId], employee_data[FirstName], "", 0)&amp;" "&amp;_xlfn.XLOOKUP(C45, employee_data[EmployeeId], employee_data[LastName], "", 0))</f>
        <v>Jane Peacock</v>
      </c>
    </row>
    <row r="46" spans="1:10" x14ac:dyDescent="0.25">
      <c r="A46" s="3">
        <v>16</v>
      </c>
      <c r="B46" s="5" t="s">
        <v>242</v>
      </c>
      <c r="C46" s="3">
        <v>4</v>
      </c>
      <c r="D46" s="3">
        <v>37.619999999999997</v>
      </c>
      <c r="E46" t="str">
        <f>VLOOKUP(C46, employee_data[], 2, FALSE)</f>
        <v>Margaret</v>
      </c>
      <c r="F46" t="str">
        <f>VLOOKUP(C46, employee_data[], 3, FALSE)</f>
        <v>Park</v>
      </c>
      <c r="G46" t="str">
        <f t="shared" si="0"/>
        <v>Margaret Park</v>
      </c>
      <c r="H46" t="str">
        <f>IFERROR(VLOOKUP(C46,employee_data[],2,FALSE)&amp;" "&amp;VLOOKUP(C46,employee_data[],3,FALSE), "No SupportRep Assigned")</f>
        <v>Margaret Park</v>
      </c>
      <c r="I46" t="str">
        <f>_xlfn.XLOOKUP(C46,employee_data[EmployeeId],employee_data[FirstName],"",0)&amp;" "&amp;_xlfn.XLOOKUP(C46,employee_data[EmployeeId],employee_data[LastName],"Unknown",0)</f>
        <v>Margaret Park</v>
      </c>
      <c r="J46" t="str">
        <f>IF(_xlfn.XLOOKUP(C46,employee_data[EmployeeId], employee_data[EmployeeId], "", 0) = "", "No SupportRep Assigned", _xlfn.XLOOKUP(C46, employee_data[EmployeeId], employee_data[FirstName], "", 0)&amp;" "&amp;_xlfn.XLOOKUP(C46, employee_data[EmployeeId], employee_data[LastName], "", 0))</f>
        <v>Margaret Park</v>
      </c>
    </row>
    <row r="47" spans="1:10" x14ac:dyDescent="0.25">
      <c r="A47" s="4">
        <v>21</v>
      </c>
      <c r="B47" s="6" t="s">
        <v>243</v>
      </c>
      <c r="C47" s="4">
        <v>5</v>
      </c>
      <c r="D47" s="4">
        <v>37.619999999999997</v>
      </c>
      <c r="E47" t="str">
        <f>VLOOKUP(C47, employee_data[], 2, FALSE)</f>
        <v>Steve</v>
      </c>
      <c r="F47" t="str">
        <f>VLOOKUP(C47, employee_data[], 3, FALSE)</f>
        <v>Johnson</v>
      </c>
      <c r="G47" t="str">
        <f t="shared" si="0"/>
        <v>Steve Johnson</v>
      </c>
      <c r="H47" t="str">
        <f>IFERROR(VLOOKUP(C47,employee_data[],2,FALSE)&amp;" "&amp;VLOOKUP(C47,employee_data[],3,FALSE), "No SupportRep Assigned")</f>
        <v>Steve Johnson</v>
      </c>
      <c r="I47" t="str">
        <f>_xlfn.XLOOKUP(C47,employee_data[EmployeeId],employee_data[FirstName],"",0)&amp;" "&amp;_xlfn.XLOOKUP(C47,employee_data[EmployeeId],employee_data[LastName],"Unknown",0)</f>
        <v>Steve Johnson</v>
      </c>
      <c r="J47" t="str">
        <f>IF(_xlfn.XLOOKUP(C47,employee_data[EmployeeId], employee_data[EmployeeId], "", 0) = "", "No SupportRep Assigned", _xlfn.XLOOKUP(C47, employee_data[EmployeeId], employee_data[FirstName], "", 0)&amp;" "&amp;_xlfn.XLOOKUP(C47, employee_data[EmployeeId], employee_data[LastName], "", 0))</f>
        <v>Steve Johnson</v>
      </c>
    </row>
    <row r="48" spans="1:10" x14ac:dyDescent="0.25">
      <c r="A48" s="3">
        <v>31</v>
      </c>
      <c r="B48" s="5" t="s">
        <v>244</v>
      </c>
      <c r="C48" s="3">
        <v>5</v>
      </c>
      <c r="D48" s="3">
        <v>37.619999999999997</v>
      </c>
      <c r="E48" t="str">
        <f>VLOOKUP(C48, employee_data[], 2, FALSE)</f>
        <v>Steve</v>
      </c>
      <c r="F48" t="str">
        <f>VLOOKUP(C48, employee_data[], 3, FALSE)</f>
        <v>Johnson</v>
      </c>
      <c r="G48" t="str">
        <f t="shared" si="0"/>
        <v>Steve Johnson</v>
      </c>
      <c r="H48" t="str">
        <f>IFERROR(VLOOKUP(C48,employee_data[],2,FALSE)&amp;" "&amp;VLOOKUP(C48,employee_data[],3,FALSE), "No SupportRep Assigned")</f>
        <v>Steve Johnson</v>
      </c>
      <c r="I48" t="str">
        <f>_xlfn.XLOOKUP(C48,employee_data[EmployeeId],employee_data[FirstName],"",0)&amp;" "&amp;_xlfn.XLOOKUP(C48,employee_data[EmployeeId],employee_data[LastName],"Unknown",0)</f>
        <v>Steve Johnson</v>
      </c>
      <c r="J48" t="str">
        <f>IF(_xlfn.XLOOKUP(C48,employee_data[EmployeeId], employee_data[EmployeeId], "", 0) = "", "No SupportRep Assigned", _xlfn.XLOOKUP(C48, employee_data[EmployeeId], employee_data[FirstName], "", 0)&amp;" "&amp;_xlfn.XLOOKUP(C48, employee_data[EmployeeId], employee_data[LastName], "", 0))</f>
        <v>Steve Johnson</v>
      </c>
    </row>
    <row r="49" spans="1:10" x14ac:dyDescent="0.25">
      <c r="A49" s="4">
        <v>54</v>
      </c>
      <c r="B49" s="6" t="s">
        <v>245</v>
      </c>
      <c r="C49" s="4">
        <v>5</v>
      </c>
      <c r="D49" s="4">
        <v>37.619999999999997</v>
      </c>
      <c r="E49" t="str">
        <f>VLOOKUP(C49, employee_data[], 2, FALSE)</f>
        <v>Steve</v>
      </c>
      <c r="F49" t="str">
        <f>VLOOKUP(C49, employee_data[], 3, FALSE)</f>
        <v>Johnson</v>
      </c>
      <c r="G49" t="str">
        <f t="shared" si="0"/>
        <v>Steve Johnson</v>
      </c>
      <c r="H49" t="str">
        <f>IFERROR(VLOOKUP(C49,employee_data[],2,FALSE)&amp;" "&amp;VLOOKUP(C49,employee_data[],3,FALSE), "No SupportRep Assigned")</f>
        <v>Steve Johnson</v>
      </c>
      <c r="I49" t="str">
        <f>_xlfn.XLOOKUP(C49,employee_data[EmployeeId],employee_data[FirstName],"",0)&amp;" "&amp;_xlfn.XLOOKUP(C49,employee_data[EmployeeId],employee_data[LastName],"Unknown",0)</f>
        <v>Steve Johnson</v>
      </c>
      <c r="J49" t="str">
        <f>IF(_xlfn.XLOOKUP(C49,employee_data[EmployeeId], employee_data[EmployeeId], "", 0) = "", "No SupportRep Assigned", _xlfn.XLOOKUP(C49, employee_data[EmployeeId], employee_data[FirstName], "", 0)&amp;" "&amp;_xlfn.XLOOKUP(C49, employee_data[EmployeeId], employee_data[LastName], "", 0))</f>
        <v>Steve Johnson</v>
      </c>
    </row>
    <row r="50" spans="1:10" x14ac:dyDescent="0.25">
      <c r="A50" s="3">
        <v>55</v>
      </c>
      <c r="B50" s="5" t="s">
        <v>246</v>
      </c>
      <c r="C50" s="3">
        <v>4</v>
      </c>
      <c r="D50" s="3">
        <v>37.619999999999997</v>
      </c>
      <c r="E50" t="str">
        <f>VLOOKUP(C50, employee_data[], 2, FALSE)</f>
        <v>Margaret</v>
      </c>
      <c r="F50" t="str">
        <f>VLOOKUP(C50, employee_data[], 3, FALSE)</f>
        <v>Park</v>
      </c>
      <c r="G50" t="str">
        <f t="shared" si="0"/>
        <v>Margaret Park</v>
      </c>
      <c r="H50" t="str">
        <f>IFERROR(VLOOKUP(C50,employee_data[],2,FALSE)&amp;" "&amp;VLOOKUP(C50,employee_data[],3,FALSE), "No SupportRep Assigned")</f>
        <v>Margaret Park</v>
      </c>
      <c r="I50" t="str">
        <f>_xlfn.XLOOKUP(C50,employee_data[EmployeeId],employee_data[FirstName],"",0)&amp;" "&amp;_xlfn.XLOOKUP(C50,employee_data[EmployeeId],employee_data[LastName],"Unknown",0)</f>
        <v>Margaret Park</v>
      </c>
      <c r="J50" t="str">
        <f>IF(_xlfn.XLOOKUP(C50,employee_data[EmployeeId], employee_data[EmployeeId], "", 0) = "", "No SupportRep Assigned", _xlfn.XLOOKUP(C50, employee_data[EmployeeId], employee_data[FirstName], "", 0)&amp;" "&amp;_xlfn.XLOOKUP(C50, employee_data[EmployeeId], employee_data[LastName], "", 0))</f>
        <v>Margaret Park</v>
      </c>
    </row>
    <row r="51" spans="1:10" x14ac:dyDescent="0.25">
      <c r="A51" s="4">
        <v>10</v>
      </c>
      <c r="B51" s="6" t="s">
        <v>247</v>
      </c>
      <c r="C51" s="4">
        <v>4</v>
      </c>
      <c r="D51" s="4">
        <v>37.619999999999997</v>
      </c>
      <c r="E51" t="str">
        <f>VLOOKUP(C51, employee_data[], 2, FALSE)</f>
        <v>Margaret</v>
      </c>
      <c r="F51" t="str">
        <f>VLOOKUP(C51, employee_data[], 3, FALSE)</f>
        <v>Park</v>
      </c>
      <c r="G51" t="str">
        <f t="shared" si="0"/>
        <v>Margaret Park</v>
      </c>
      <c r="H51" t="str">
        <f>IFERROR(VLOOKUP(C51,employee_data[],2,FALSE)&amp;" "&amp;VLOOKUP(C51,employee_data[],3,FALSE), "No SupportRep Assigned")</f>
        <v>Margaret Park</v>
      </c>
      <c r="I51" t="str">
        <f>_xlfn.XLOOKUP(C51,employee_data[EmployeeId],employee_data[FirstName],"",0)&amp;" "&amp;_xlfn.XLOOKUP(C51,employee_data[EmployeeId],employee_data[LastName],"Unknown",0)</f>
        <v>Margaret Park</v>
      </c>
      <c r="J51" t="str">
        <f>IF(_xlfn.XLOOKUP(C51,employee_data[EmployeeId], employee_data[EmployeeId], "", 0) = "", "No SupportRep Assigned", _xlfn.XLOOKUP(C51, employee_data[EmployeeId], employee_data[FirstName], "", 0)&amp;" "&amp;_xlfn.XLOOKUP(C51, employee_data[EmployeeId], employee_data[LastName], "", 0))</f>
        <v>Margaret Park</v>
      </c>
    </row>
    <row r="52" spans="1:10" x14ac:dyDescent="0.25">
      <c r="A52" s="3">
        <v>27</v>
      </c>
      <c r="B52" s="5" t="s">
        <v>248</v>
      </c>
      <c r="C52" s="3">
        <v>4</v>
      </c>
      <c r="D52" s="3">
        <v>37.619999999999997</v>
      </c>
      <c r="E52" t="str">
        <f>VLOOKUP(C52, employee_data[], 2, FALSE)</f>
        <v>Margaret</v>
      </c>
      <c r="F52" t="str">
        <f>VLOOKUP(C52, employee_data[], 3, FALSE)</f>
        <v>Park</v>
      </c>
      <c r="G52" t="str">
        <f t="shared" si="0"/>
        <v>Margaret Park</v>
      </c>
      <c r="H52" t="str">
        <f>IFERROR(VLOOKUP(C52,employee_data[],2,FALSE)&amp;" "&amp;VLOOKUP(C52,employee_data[],3,FALSE), "No SupportRep Assigned")</f>
        <v>Margaret Park</v>
      </c>
      <c r="I52" t="str">
        <f>_xlfn.XLOOKUP(C52,employee_data[EmployeeId],employee_data[FirstName],"",0)&amp;" "&amp;_xlfn.XLOOKUP(C52,employee_data[EmployeeId],employee_data[LastName],"Unknown",0)</f>
        <v>Margaret Park</v>
      </c>
      <c r="J52" t="str">
        <f>IF(_xlfn.XLOOKUP(C52,employee_data[EmployeeId], employee_data[EmployeeId], "", 0) = "", "No SupportRep Assigned", _xlfn.XLOOKUP(C52, employee_data[EmployeeId], employee_data[FirstName], "", 0)&amp;" "&amp;_xlfn.XLOOKUP(C52, employee_data[EmployeeId], employee_data[LastName], "", 0))</f>
        <v>Margaret Park</v>
      </c>
    </row>
    <row r="53" spans="1:10" x14ac:dyDescent="0.25">
      <c r="A53" s="4">
        <v>33</v>
      </c>
      <c r="B53" s="6" t="s">
        <v>249</v>
      </c>
      <c r="C53" s="4">
        <v>3</v>
      </c>
      <c r="D53" s="4">
        <v>37.619999999999997</v>
      </c>
      <c r="E53" t="str">
        <f>VLOOKUP(C53, employee_data[], 2, FALSE)</f>
        <v>Jane</v>
      </c>
      <c r="F53" t="str">
        <f>VLOOKUP(C53, employee_data[], 3, FALSE)</f>
        <v>Peacock</v>
      </c>
      <c r="G53" t="str">
        <f t="shared" si="0"/>
        <v>Jane Peacock</v>
      </c>
      <c r="H53" t="str">
        <f>IFERROR(VLOOKUP(C53,employee_data[],2,FALSE)&amp;" "&amp;VLOOKUP(C53,employee_data[],3,FALSE), "No SupportRep Assigned")</f>
        <v>Jane Peacock</v>
      </c>
      <c r="I53" t="str">
        <f>_xlfn.XLOOKUP(C53,employee_data[EmployeeId],employee_data[FirstName],"",0)&amp;" "&amp;_xlfn.XLOOKUP(C53,employee_data[EmployeeId],employee_data[LastName],"Unknown",0)</f>
        <v>Jane Peacock</v>
      </c>
      <c r="J53" t="str">
        <f>IF(_xlfn.XLOOKUP(C53,employee_data[EmployeeId], employee_data[EmployeeId], "", 0) = "", "No SupportRep Assigned", _xlfn.XLOOKUP(C53, employee_data[EmployeeId], employee_data[FirstName], "", 0)&amp;" "&amp;_xlfn.XLOOKUP(C53, employee_data[EmployeeId], employee_data[LastName], "", 0))</f>
        <v>Jane Peacock</v>
      </c>
    </row>
    <row r="54" spans="1:10" x14ac:dyDescent="0.25">
      <c r="A54" s="3">
        <v>41</v>
      </c>
      <c r="B54" s="5" t="s">
        <v>250</v>
      </c>
      <c r="C54" s="3">
        <v>5</v>
      </c>
      <c r="D54" s="3">
        <v>37.619999999999997</v>
      </c>
      <c r="E54" t="str">
        <f>VLOOKUP(C54, employee_data[], 2, FALSE)</f>
        <v>Steve</v>
      </c>
      <c r="F54" t="str">
        <f>VLOOKUP(C54, employee_data[], 3, FALSE)</f>
        <v>Johnson</v>
      </c>
      <c r="G54" t="str">
        <f t="shared" si="0"/>
        <v>Steve Johnson</v>
      </c>
      <c r="H54" t="str">
        <f>IFERROR(VLOOKUP(C54,employee_data[],2,FALSE)&amp;" "&amp;VLOOKUP(C54,employee_data[],3,FALSE), "No SupportRep Assigned")</f>
        <v>Steve Johnson</v>
      </c>
      <c r="I54" t="str">
        <f>_xlfn.XLOOKUP(C54,employee_data[EmployeeId],employee_data[FirstName],"",0)&amp;" "&amp;_xlfn.XLOOKUP(C54,employee_data[EmployeeId],employee_data[LastName],"Unknown",0)</f>
        <v>Steve Johnson</v>
      </c>
      <c r="J54" t="str">
        <f>IF(_xlfn.XLOOKUP(C54,employee_data[EmployeeId], employee_data[EmployeeId], "", 0) = "", "No SupportRep Assigned", _xlfn.XLOOKUP(C54, employee_data[EmployeeId], employee_data[FirstName], "", 0)&amp;" "&amp;_xlfn.XLOOKUP(C54, employee_data[EmployeeId], employee_data[LastName], "", 0))</f>
        <v>Steve Johnson</v>
      </c>
    </row>
    <row r="55" spans="1:10" x14ac:dyDescent="0.25">
      <c r="A55" s="4">
        <v>18</v>
      </c>
      <c r="B55" s="6" t="s">
        <v>251</v>
      </c>
      <c r="C55" s="4">
        <v>3</v>
      </c>
      <c r="D55" s="4">
        <v>37.619999999999997</v>
      </c>
      <c r="E55" t="str">
        <f>VLOOKUP(C55, employee_data[], 2, FALSE)</f>
        <v>Jane</v>
      </c>
      <c r="F55" t="str">
        <f>VLOOKUP(C55, employee_data[], 3, FALSE)</f>
        <v>Peacock</v>
      </c>
      <c r="G55" t="str">
        <f t="shared" si="0"/>
        <v>Jane Peacock</v>
      </c>
      <c r="H55" t="str">
        <f>IFERROR(VLOOKUP(C55,employee_data[],2,FALSE)&amp;" "&amp;VLOOKUP(C55,employee_data[],3,FALSE), "No SupportRep Assigned")</f>
        <v>Jane Peacock</v>
      </c>
      <c r="I55" t="str">
        <f>_xlfn.XLOOKUP(C55,employee_data[EmployeeId],employee_data[FirstName],"",0)&amp;" "&amp;_xlfn.XLOOKUP(C55,employee_data[EmployeeId],employee_data[LastName],"Unknown",0)</f>
        <v>Jane Peacock</v>
      </c>
      <c r="J55" t="str">
        <f>IF(_xlfn.XLOOKUP(C55,employee_data[EmployeeId], employee_data[EmployeeId], "", 0) = "", "No SupportRep Assigned", _xlfn.XLOOKUP(C55, employee_data[EmployeeId], employee_data[FirstName], "", 0)&amp;" "&amp;_xlfn.XLOOKUP(C55, employee_data[EmployeeId], employee_data[LastName], "", 0))</f>
        <v>Jane Peacock</v>
      </c>
    </row>
    <row r="56" spans="1:10" x14ac:dyDescent="0.25">
      <c r="A56" s="3">
        <v>36</v>
      </c>
      <c r="B56" s="5" t="s">
        <v>252</v>
      </c>
      <c r="C56" s="3">
        <v>5</v>
      </c>
      <c r="D56" s="3">
        <v>37.619999999999997</v>
      </c>
      <c r="E56" t="str">
        <f>VLOOKUP(C56, employee_data[], 2, FALSE)</f>
        <v>Steve</v>
      </c>
      <c r="F56" t="str">
        <f>VLOOKUP(C56, employee_data[], 3, FALSE)</f>
        <v>Johnson</v>
      </c>
      <c r="G56" t="str">
        <f t="shared" si="0"/>
        <v>Steve Johnson</v>
      </c>
      <c r="H56" t="str">
        <f>IFERROR(VLOOKUP(C56,employee_data[],2,FALSE)&amp;" "&amp;VLOOKUP(C56,employee_data[],3,FALSE), "No SupportRep Assigned")</f>
        <v>Steve Johnson</v>
      </c>
      <c r="I56" t="str">
        <f>_xlfn.XLOOKUP(C56,employee_data[EmployeeId],employee_data[FirstName],"",0)&amp;" "&amp;_xlfn.XLOOKUP(C56,employee_data[EmployeeId],employee_data[LastName],"Unknown",0)</f>
        <v>Steve Johnson</v>
      </c>
      <c r="J56" t="str">
        <f>IF(_xlfn.XLOOKUP(C56,employee_data[EmployeeId], employee_data[EmployeeId], "", 0) = "", "No SupportRep Assigned", _xlfn.XLOOKUP(C56, employee_data[EmployeeId], employee_data[FirstName], "", 0)&amp;" "&amp;_xlfn.XLOOKUP(C56, employee_data[EmployeeId], employee_data[LastName], "", 0))</f>
        <v>Steve Johnson</v>
      </c>
    </row>
    <row r="57" spans="1:10" x14ac:dyDescent="0.25">
      <c r="A57" s="4">
        <v>56</v>
      </c>
      <c r="B57" s="6" t="s">
        <v>253</v>
      </c>
      <c r="C57" s="4">
        <v>4</v>
      </c>
      <c r="D57" s="4">
        <v>37.619999999999997</v>
      </c>
      <c r="E57" t="str">
        <f>VLOOKUP(C57, employee_data[], 2, FALSE)</f>
        <v>Margaret</v>
      </c>
      <c r="F57" t="str">
        <f>VLOOKUP(C57, employee_data[], 3, FALSE)</f>
        <v>Park</v>
      </c>
      <c r="G57" t="str">
        <f t="shared" si="0"/>
        <v>Margaret Park</v>
      </c>
      <c r="H57" t="str">
        <f>IFERROR(VLOOKUP(C57,employee_data[],2,FALSE)&amp;" "&amp;VLOOKUP(C57,employee_data[],3,FALSE), "No SupportRep Assigned")</f>
        <v>Margaret Park</v>
      </c>
      <c r="I57" t="str">
        <f>_xlfn.XLOOKUP(C57,employee_data[EmployeeId],employee_data[FirstName],"",0)&amp;" "&amp;_xlfn.XLOOKUP(C57,employee_data[EmployeeId],employee_data[LastName],"Unknown",0)</f>
        <v>Margaret Park</v>
      </c>
      <c r="J57" t="str">
        <f>IF(_xlfn.XLOOKUP(C57,employee_data[EmployeeId], employee_data[EmployeeId], "", 0) = "", "No SupportRep Assigned", _xlfn.XLOOKUP(C57, employee_data[EmployeeId], employee_data[FirstName], "", 0)&amp;" "&amp;_xlfn.XLOOKUP(C57, employee_data[EmployeeId], employee_data[LastName], "", 0))</f>
        <v>Margaret Park</v>
      </c>
    </row>
    <row r="58" spans="1:10" x14ac:dyDescent="0.25">
      <c r="A58" s="3">
        <v>12</v>
      </c>
      <c r="B58" s="5" t="s">
        <v>254</v>
      </c>
      <c r="C58" s="3">
        <v>3</v>
      </c>
      <c r="D58" s="3">
        <v>37.619999999999997</v>
      </c>
      <c r="E58" t="str">
        <f>VLOOKUP(C58, employee_data[], 2, FALSE)</f>
        <v>Jane</v>
      </c>
      <c r="F58" t="str">
        <f>VLOOKUP(C58, employee_data[], 3, FALSE)</f>
        <v>Peacock</v>
      </c>
      <c r="G58" t="str">
        <f t="shared" si="0"/>
        <v>Jane Peacock</v>
      </c>
      <c r="H58" t="str">
        <f>IFERROR(VLOOKUP(C58,employee_data[],2,FALSE)&amp;" "&amp;VLOOKUP(C58,employee_data[],3,FALSE), "No SupportRep Assigned")</f>
        <v>Jane Peacock</v>
      </c>
      <c r="I58" t="str">
        <f>_xlfn.XLOOKUP(C58,employee_data[EmployeeId],employee_data[FirstName],"",0)&amp;" "&amp;_xlfn.XLOOKUP(C58,employee_data[EmployeeId],employee_data[LastName],"Unknown",0)</f>
        <v>Jane Peacock</v>
      </c>
      <c r="J58" t="str">
        <f>IF(_xlfn.XLOOKUP(C58,employee_data[EmployeeId], employee_data[EmployeeId], "", 0) = "", "No SupportRep Assigned", _xlfn.XLOOKUP(C58, employee_data[EmployeeId], employee_data[FirstName], "", 0)&amp;" "&amp;_xlfn.XLOOKUP(C58, employee_data[EmployeeId], employee_data[LastName], "", 0))</f>
        <v>Jane Peacock</v>
      </c>
    </row>
    <row r="59" spans="1:10" x14ac:dyDescent="0.25">
      <c r="A59" s="4">
        <v>35</v>
      </c>
      <c r="B59" s="6" t="s">
        <v>255</v>
      </c>
      <c r="C59" s="4">
        <v>4</v>
      </c>
      <c r="D59" s="4">
        <v>37.619999999999997</v>
      </c>
      <c r="E59" t="str">
        <f>VLOOKUP(C59, employee_data[], 2, FALSE)</f>
        <v>Margaret</v>
      </c>
      <c r="F59" t="str">
        <f>VLOOKUP(C59, employee_data[], 3, FALSE)</f>
        <v>Park</v>
      </c>
      <c r="G59" t="str">
        <f t="shared" si="0"/>
        <v>Margaret Park</v>
      </c>
      <c r="H59" t="str">
        <f>IFERROR(VLOOKUP(C59,employee_data[],2,FALSE)&amp;" "&amp;VLOOKUP(C59,employee_data[],3,FALSE), "No SupportRep Assigned")</f>
        <v>Margaret Park</v>
      </c>
      <c r="I59" t="str">
        <f>_xlfn.XLOOKUP(C59,employee_data[EmployeeId],employee_data[FirstName],"",0)&amp;" "&amp;_xlfn.XLOOKUP(C59,employee_data[EmployeeId],employee_data[LastName],"Unknown",0)</f>
        <v>Margaret Park</v>
      </c>
      <c r="J59" t="str">
        <f>IF(_xlfn.XLOOKUP(C59,employee_data[EmployeeId], employee_data[EmployeeId], "", 0) = "", "No SupportRep Assigned", _xlfn.XLOOKUP(C59, employee_data[EmployeeId], employee_data[FirstName], "", 0)&amp;" "&amp;_xlfn.XLOOKUP(C59, employee_data[EmployeeId], employee_data[LastName], "", 0))</f>
        <v>Margaret Park</v>
      </c>
    </row>
    <row r="60" spans="1:10" x14ac:dyDescent="0.25">
      <c r="A60" s="3">
        <v>59</v>
      </c>
      <c r="B60" s="5" t="s">
        <v>256</v>
      </c>
      <c r="C60" s="3">
        <v>3</v>
      </c>
      <c r="D60" s="3">
        <v>36.64</v>
      </c>
      <c r="E60" t="str">
        <f>VLOOKUP(C60, employee_data[], 2, FALSE)</f>
        <v>Jane</v>
      </c>
      <c r="F60" t="str">
        <f>VLOOKUP(C60, employee_data[], 3, FALSE)</f>
        <v>Peacock</v>
      </c>
      <c r="G60" t="str">
        <f t="shared" si="0"/>
        <v>Jane Peacock</v>
      </c>
      <c r="H60" t="str">
        <f>IFERROR(VLOOKUP(C60,employee_data[],2,FALSE)&amp;" "&amp;VLOOKUP(C60,employee_data[],3,FALSE), "No SupportRep Assigned")</f>
        <v>Jane Peacock</v>
      </c>
      <c r="I60" t="str">
        <f>_xlfn.XLOOKUP(C60,employee_data[EmployeeId],employee_data[FirstName],"",0)&amp;" "&amp;_xlfn.XLOOKUP(C60,employee_data[EmployeeId],employee_data[LastName],"Unknown",0)</f>
        <v>Jane Peacock</v>
      </c>
      <c r="J60" t="str">
        <f>IF(_xlfn.XLOOKUP(C60,employee_data[EmployeeId], employee_data[EmployeeId], "", 0) = "", "No SupportRep Assigned", _xlfn.XLOOKUP(C60, employee_data[EmployeeId], employee_data[FirstName], "", 0)&amp;" "&amp;_xlfn.XLOOKUP(C60, employee_data[EmployeeId], employee_data[LastName], "", 0))</f>
        <v>Jane Peacock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74F-E709-4F44-B223-A4338FFAE753}">
  <dimension ref="A1:N60"/>
  <sheetViews>
    <sheetView topLeftCell="A16" workbookViewId="0">
      <selection activeCell="J25" sqref="J25"/>
    </sheetView>
  </sheetViews>
  <sheetFormatPr defaultRowHeight="15" x14ac:dyDescent="0.25"/>
  <cols>
    <col min="1" max="1" width="13.5703125" bestFit="1" customWidth="1"/>
    <col min="2" max="2" width="21.42578125" bestFit="1" customWidth="1"/>
    <col min="3" max="3" width="15.5703125" bestFit="1" customWidth="1"/>
    <col min="4" max="4" width="13.85546875" bestFit="1" customWidth="1"/>
    <col min="5" max="5" width="24.7109375" bestFit="1" customWidth="1"/>
    <col min="6" max="6" width="24.28515625" bestFit="1" customWidth="1"/>
    <col min="7" max="7" width="24.140625" bestFit="1" customWidth="1"/>
    <col min="8" max="8" width="35" bestFit="1" customWidth="1"/>
    <col min="9" max="9" width="34.85546875" bestFit="1" customWidth="1"/>
    <col min="10" max="10" width="35.85546875" bestFit="1" customWidth="1"/>
    <col min="11" max="11" width="28.5703125" bestFit="1" customWidth="1"/>
    <col min="12" max="12" width="27" bestFit="1" customWidth="1"/>
    <col min="13" max="13" width="26.5703125" bestFit="1" customWidth="1"/>
    <col min="14" max="14" width="21.7109375" bestFit="1" customWidth="1"/>
  </cols>
  <sheetData>
    <row r="1" spans="1:14" x14ac:dyDescent="0.25">
      <c r="A1" t="s">
        <v>193</v>
      </c>
      <c r="B1" t="s">
        <v>194</v>
      </c>
      <c r="C1" t="s">
        <v>195</v>
      </c>
      <c r="D1" t="s">
        <v>196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</row>
    <row r="2" spans="1:14" x14ac:dyDescent="0.25">
      <c r="A2">
        <v>6</v>
      </c>
      <c r="B2" s="1" t="s">
        <v>198</v>
      </c>
      <c r="C2">
        <v>5</v>
      </c>
      <c r="D2">
        <v>49.62</v>
      </c>
      <c r="E2" s="1" t="s">
        <v>371</v>
      </c>
      <c r="F2" s="1" t="s">
        <v>372</v>
      </c>
      <c r="G2" s="1" t="s">
        <v>289</v>
      </c>
      <c r="H2" s="1" t="s">
        <v>289</v>
      </c>
      <c r="I2" s="1" t="s">
        <v>289</v>
      </c>
      <c r="J2" s="1" t="s">
        <v>289</v>
      </c>
      <c r="K2">
        <v>5</v>
      </c>
      <c r="L2" s="1" t="s">
        <v>371</v>
      </c>
      <c r="M2" s="1" t="s">
        <v>372</v>
      </c>
      <c r="N2" s="1" t="s">
        <v>368</v>
      </c>
    </row>
    <row r="3" spans="1:14" x14ac:dyDescent="0.25">
      <c r="A3">
        <v>57</v>
      </c>
      <c r="B3" s="1" t="s">
        <v>200</v>
      </c>
      <c r="C3">
        <v>5</v>
      </c>
      <c r="D3">
        <v>46.62</v>
      </c>
      <c r="E3" s="1" t="s">
        <v>371</v>
      </c>
      <c r="F3" s="1" t="s">
        <v>372</v>
      </c>
      <c r="G3" s="1" t="s">
        <v>289</v>
      </c>
      <c r="H3" s="1" t="s">
        <v>289</v>
      </c>
      <c r="I3" s="1" t="s">
        <v>289</v>
      </c>
      <c r="J3" s="1" t="s">
        <v>289</v>
      </c>
      <c r="K3">
        <v>5</v>
      </c>
      <c r="L3" s="1" t="s">
        <v>371</v>
      </c>
      <c r="M3" s="1" t="s">
        <v>372</v>
      </c>
      <c r="N3" s="1" t="s">
        <v>368</v>
      </c>
    </row>
    <row r="4" spans="1:14" x14ac:dyDescent="0.25">
      <c r="A4">
        <v>28</v>
      </c>
      <c r="B4" s="1" t="s">
        <v>204</v>
      </c>
      <c r="C4">
        <v>5</v>
      </c>
      <c r="D4">
        <v>43.62</v>
      </c>
      <c r="E4" s="1" t="s">
        <v>371</v>
      </c>
      <c r="F4" s="1" t="s">
        <v>372</v>
      </c>
      <c r="G4" s="1" t="s">
        <v>289</v>
      </c>
      <c r="H4" s="1" t="s">
        <v>289</v>
      </c>
      <c r="I4" s="1" t="s">
        <v>289</v>
      </c>
      <c r="J4" s="1" t="s">
        <v>289</v>
      </c>
      <c r="K4">
        <v>5</v>
      </c>
      <c r="L4" s="1" t="s">
        <v>371</v>
      </c>
      <c r="M4" s="1" t="s">
        <v>372</v>
      </c>
      <c r="N4" s="1" t="s">
        <v>368</v>
      </c>
    </row>
    <row r="5" spans="1:14" x14ac:dyDescent="0.25">
      <c r="A5">
        <v>25</v>
      </c>
      <c r="B5" s="1" t="s">
        <v>206</v>
      </c>
      <c r="C5">
        <v>5</v>
      </c>
      <c r="D5">
        <v>42.62</v>
      </c>
      <c r="E5" s="1" t="s">
        <v>371</v>
      </c>
      <c r="F5" s="1" t="s">
        <v>372</v>
      </c>
      <c r="G5" s="1" t="s">
        <v>289</v>
      </c>
      <c r="H5" s="1" t="s">
        <v>289</v>
      </c>
      <c r="I5" s="1" t="s">
        <v>289</v>
      </c>
      <c r="J5" s="1" t="s">
        <v>289</v>
      </c>
      <c r="K5">
        <v>5</v>
      </c>
      <c r="L5" s="1" t="s">
        <v>371</v>
      </c>
      <c r="M5" s="1" t="s">
        <v>372</v>
      </c>
      <c r="N5" s="1" t="s">
        <v>368</v>
      </c>
    </row>
    <row r="6" spans="1:14" x14ac:dyDescent="0.25">
      <c r="A6">
        <v>26</v>
      </c>
      <c r="B6" s="1" t="s">
        <v>199</v>
      </c>
      <c r="C6">
        <v>4</v>
      </c>
      <c r="D6">
        <v>47.62</v>
      </c>
      <c r="E6" s="1" t="s">
        <v>369</v>
      </c>
      <c r="F6" s="1" t="s">
        <v>370</v>
      </c>
      <c r="G6" s="1" t="s">
        <v>288</v>
      </c>
      <c r="H6" s="1" t="s">
        <v>288</v>
      </c>
      <c r="I6" s="1" t="s">
        <v>288</v>
      </c>
      <c r="J6" s="1" t="s">
        <v>288</v>
      </c>
      <c r="K6">
        <v>4</v>
      </c>
      <c r="L6" s="1" t="s">
        <v>369</v>
      </c>
      <c r="M6" s="1" t="s">
        <v>370</v>
      </c>
      <c r="N6" s="1" t="s">
        <v>368</v>
      </c>
    </row>
    <row r="7" spans="1:14" x14ac:dyDescent="0.25">
      <c r="A7">
        <v>46</v>
      </c>
      <c r="B7" s="1" t="s">
        <v>201</v>
      </c>
      <c r="C7">
        <v>3</v>
      </c>
      <c r="D7">
        <v>45.62</v>
      </c>
      <c r="E7" s="1" t="s">
        <v>366</v>
      </c>
      <c r="F7" s="1" t="s">
        <v>367</v>
      </c>
      <c r="G7" s="1" t="s">
        <v>287</v>
      </c>
      <c r="H7" s="1" t="s">
        <v>287</v>
      </c>
      <c r="I7" s="1" t="s">
        <v>287</v>
      </c>
      <c r="J7" s="1" t="s">
        <v>287</v>
      </c>
      <c r="K7">
        <v>3</v>
      </c>
      <c r="L7" s="1" t="s">
        <v>366</v>
      </c>
      <c r="M7" s="1" t="s">
        <v>367</v>
      </c>
      <c r="N7" s="1" t="s">
        <v>368</v>
      </c>
    </row>
    <row r="8" spans="1:14" x14ac:dyDescent="0.25">
      <c r="A8">
        <v>45</v>
      </c>
      <c r="B8" s="1" t="s">
        <v>202</v>
      </c>
      <c r="C8">
        <v>3</v>
      </c>
      <c r="D8">
        <v>45.62</v>
      </c>
      <c r="E8" s="1" t="s">
        <v>366</v>
      </c>
      <c r="F8" s="1" t="s">
        <v>367</v>
      </c>
      <c r="G8" s="1" t="s">
        <v>287</v>
      </c>
      <c r="H8" s="1" t="s">
        <v>287</v>
      </c>
      <c r="I8" s="1" t="s">
        <v>287</v>
      </c>
      <c r="J8" s="1" t="s">
        <v>287</v>
      </c>
      <c r="K8">
        <v>3</v>
      </c>
      <c r="L8" s="1" t="s">
        <v>366</v>
      </c>
      <c r="M8" s="1" t="s">
        <v>367</v>
      </c>
      <c r="N8" s="1" t="s">
        <v>368</v>
      </c>
    </row>
    <row r="9" spans="1:14" x14ac:dyDescent="0.25">
      <c r="A9">
        <v>37</v>
      </c>
      <c r="B9" s="1" t="s">
        <v>203</v>
      </c>
      <c r="C9">
        <v>3</v>
      </c>
      <c r="D9">
        <v>43.62</v>
      </c>
      <c r="E9" s="1" t="s">
        <v>366</v>
      </c>
      <c r="F9" s="1" t="s">
        <v>367</v>
      </c>
      <c r="G9" s="1" t="s">
        <v>287</v>
      </c>
      <c r="H9" s="1" t="s">
        <v>287</v>
      </c>
      <c r="I9" s="1" t="s">
        <v>287</v>
      </c>
      <c r="J9" s="1" t="s">
        <v>287</v>
      </c>
      <c r="K9">
        <v>3</v>
      </c>
      <c r="L9" s="1" t="s">
        <v>366</v>
      </c>
      <c r="M9" s="1" t="s">
        <v>367</v>
      </c>
      <c r="N9" s="1" t="s">
        <v>368</v>
      </c>
    </row>
    <row r="10" spans="1:14" x14ac:dyDescent="0.25">
      <c r="A10">
        <v>24</v>
      </c>
      <c r="B10" s="1" t="s">
        <v>205</v>
      </c>
      <c r="C10">
        <v>3</v>
      </c>
      <c r="D10">
        <v>43.62</v>
      </c>
      <c r="E10" s="1" t="s">
        <v>366</v>
      </c>
      <c r="F10" s="1" t="s">
        <v>367</v>
      </c>
      <c r="G10" s="1" t="s">
        <v>287</v>
      </c>
      <c r="H10" s="1" t="s">
        <v>287</v>
      </c>
      <c r="I10" s="1" t="s">
        <v>287</v>
      </c>
      <c r="J10" s="1" t="s">
        <v>287</v>
      </c>
      <c r="K10">
        <v>3</v>
      </c>
      <c r="L10" s="1" t="s">
        <v>366</v>
      </c>
      <c r="M10" s="1" t="s">
        <v>367</v>
      </c>
      <c r="N10" s="1" t="s">
        <v>368</v>
      </c>
    </row>
    <row r="11" spans="1:14" x14ac:dyDescent="0.25">
      <c r="A11">
        <v>7</v>
      </c>
      <c r="B11" s="1" t="s">
        <v>207</v>
      </c>
      <c r="C11">
        <v>5</v>
      </c>
      <c r="D11">
        <v>42.62</v>
      </c>
      <c r="E11" s="1" t="s">
        <v>371</v>
      </c>
      <c r="F11" s="1" t="s">
        <v>372</v>
      </c>
      <c r="G11" s="1" t="s">
        <v>289</v>
      </c>
      <c r="H11" s="1" t="s">
        <v>289</v>
      </c>
      <c r="I11" s="1" t="s">
        <v>289</v>
      </c>
      <c r="J11" s="1" t="s">
        <v>289</v>
      </c>
      <c r="K11">
        <v>5</v>
      </c>
      <c r="L11" s="1" t="s">
        <v>371</v>
      </c>
      <c r="M11" s="1" t="s">
        <v>372</v>
      </c>
      <c r="N11" s="1" t="s">
        <v>368</v>
      </c>
    </row>
    <row r="12" spans="1:14" x14ac:dyDescent="0.25">
      <c r="A12">
        <v>44</v>
      </c>
      <c r="B12" s="1" t="s">
        <v>208</v>
      </c>
      <c r="C12">
        <v>3</v>
      </c>
      <c r="D12">
        <v>41.62</v>
      </c>
      <c r="E12" s="1" t="s">
        <v>366</v>
      </c>
      <c r="F12" s="1" t="s">
        <v>367</v>
      </c>
      <c r="G12" s="1" t="s">
        <v>287</v>
      </c>
      <c r="H12" s="1" t="s">
        <v>287</v>
      </c>
      <c r="I12" s="1" t="s">
        <v>287</v>
      </c>
      <c r="J12" s="1" t="s">
        <v>287</v>
      </c>
      <c r="K12">
        <v>3</v>
      </c>
      <c r="L12" s="1" t="s">
        <v>366</v>
      </c>
      <c r="M12" s="1" t="s">
        <v>367</v>
      </c>
      <c r="N12" s="1" t="s">
        <v>368</v>
      </c>
    </row>
    <row r="13" spans="1:14" x14ac:dyDescent="0.25">
      <c r="A13">
        <v>48</v>
      </c>
      <c r="B13" s="1" t="s">
        <v>209</v>
      </c>
      <c r="C13">
        <v>5</v>
      </c>
      <c r="D13">
        <v>40.619999999999997</v>
      </c>
      <c r="E13" s="1" t="s">
        <v>371</v>
      </c>
      <c r="F13" s="1" t="s">
        <v>372</v>
      </c>
      <c r="G13" s="1" t="s">
        <v>289</v>
      </c>
      <c r="H13" s="1" t="s">
        <v>289</v>
      </c>
      <c r="I13" s="1" t="s">
        <v>289</v>
      </c>
      <c r="J13" s="1" t="s">
        <v>289</v>
      </c>
      <c r="K13">
        <v>5</v>
      </c>
      <c r="L13" s="1" t="s">
        <v>371</v>
      </c>
      <c r="M13" s="1" t="s">
        <v>372</v>
      </c>
      <c r="N13" s="1" t="s">
        <v>368</v>
      </c>
    </row>
    <row r="14" spans="1:14" x14ac:dyDescent="0.25">
      <c r="A14">
        <v>5</v>
      </c>
      <c r="B14" s="1" t="s">
        <v>210</v>
      </c>
      <c r="C14">
        <v>4</v>
      </c>
      <c r="D14">
        <v>40.619999999999997</v>
      </c>
      <c r="E14" s="1" t="s">
        <v>369</v>
      </c>
      <c r="F14" s="1" t="s">
        <v>370</v>
      </c>
      <c r="G14" s="1" t="s">
        <v>288</v>
      </c>
      <c r="H14" s="1" t="s">
        <v>288</v>
      </c>
      <c r="I14" s="1" t="s">
        <v>288</v>
      </c>
      <c r="J14" s="1" t="s">
        <v>288</v>
      </c>
      <c r="K14">
        <v>4</v>
      </c>
      <c r="L14" s="1" t="s">
        <v>369</v>
      </c>
      <c r="M14" s="1" t="s">
        <v>370</v>
      </c>
      <c r="N14" s="1" t="s">
        <v>368</v>
      </c>
    </row>
    <row r="15" spans="1:14" x14ac:dyDescent="0.25">
      <c r="A15">
        <v>43</v>
      </c>
      <c r="B15" s="1" t="s">
        <v>211</v>
      </c>
      <c r="C15">
        <v>3</v>
      </c>
      <c r="D15">
        <v>40.619999999999997</v>
      </c>
      <c r="E15" s="1" t="s">
        <v>366</v>
      </c>
      <c r="F15" s="1" t="s">
        <v>367</v>
      </c>
      <c r="G15" s="1" t="s">
        <v>287</v>
      </c>
      <c r="H15" s="1" t="s">
        <v>287</v>
      </c>
      <c r="I15" s="1" t="s">
        <v>287</v>
      </c>
      <c r="J15" s="1" t="s">
        <v>287</v>
      </c>
      <c r="K15">
        <v>3</v>
      </c>
      <c r="L15" s="1" t="s">
        <v>366</v>
      </c>
      <c r="M15" s="1" t="s">
        <v>367</v>
      </c>
      <c r="N15" s="1" t="s">
        <v>368</v>
      </c>
    </row>
    <row r="16" spans="1:14" x14ac:dyDescent="0.25">
      <c r="A16">
        <v>4</v>
      </c>
      <c r="B16" s="1" t="s">
        <v>212</v>
      </c>
      <c r="C16">
        <v>4</v>
      </c>
      <c r="D16">
        <v>39.619999999999997</v>
      </c>
      <c r="E16" s="1" t="s">
        <v>369</v>
      </c>
      <c r="F16" s="1" t="s">
        <v>370</v>
      </c>
      <c r="G16" s="1" t="s">
        <v>288</v>
      </c>
      <c r="H16" s="1" t="s">
        <v>288</v>
      </c>
      <c r="I16" s="1" t="s">
        <v>288</v>
      </c>
      <c r="J16" s="1" t="s">
        <v>288</v>
      </c>
      <c r="K16">
        <v>4</v>
      </c>
      <c r="L16" s="1" t="s">
        <v>369</v>
      </c>
      <c r="M16" s="1" t="s">
        <v>370</v>
      </c>
      <c r="N16" s="1" t="s">
        <v>368</v>
      </c>
    </row>
    <row r="17" spans="1:14" x14ac:dyDescent="0.25">
      <c r="A17">
        <v>3</v>
      </c>
      <c r="B17" s="1" t="s">
        <v>213</v>
      </c>
      <c r="C17">
        <v>3</v>
      </c>
      <c r="D17">
        <v>39.619999999999997</v>
      </c>
      <c r="E17" s="1" t="s">
        <v>366</v>
      </c>
      <c r="F17" s="1" t="s">
        <v>367</v>
      </c>
      <c r="G17" s="1" t="s">
        <v>287</v>
      </c>
      <c r="H17" s="1" t="s">
        <v>287</v>
      </c>
      <c r="I17" s="1" t="s">
        <v>287</v>
      </c>
      <c r="J17" s="1" t="s">
        <v>287</v>
      </c>
      <c r="K17">
        <v>3</v>
      </c>
      <c r="L17" s="1" t="s">
        <v>366</v>
      </c>
      <c r="M17" s="1" t="s">
        <v>367</v>
      </c>
      <c r="N17" s="1" t="s">
        <v>368</v>
      </c>
    </row>
    <row r="18" spans="1:14" x14ac:dyDescent="0.25">
      <c r="A18">
        <v>42</v>
      </c>
      <c r="B18" s="1" t="s">
        <v>214</v>
      </c>
      <c r="C18">
        <v>3</v>
      </c>
      <c r="D18">
        <v>39.619999999999997</v>
      </c>
      <c r="E18" s="1" t="s">
        <v>366</v>
      </c>
      <c r="F18" s="1" t="s">
        <v>367</v>
      </c>
      <c r="G18" s="1" t="s">
        <v>287</v>
      </c>
      <c r="H18" s="1" t="s">
        <v>287</v>
      </c>
      <c r="I18" s="1" t="s">
        <v>287</v>
      </c>
      <c r="J18" s="1" t="s">
        <v>287</v>
      </c>
      <c r="K18">
        <v>3</v>
      </c>
      <c r="L18" s="1" t="s">
        <v>366</v>
      </c>
      <c r="M18" s="1" t="s">
        <v>367</v>
      </c>
      <c r="N18" s="1" t="s">
        <v>368</v>
      </c>
    </row>
    <row r="19" spans="1:14" x14ac:dyDescent="0.25">
      <c r="A19">
        <v>34</v>
      </c>
      <c r="B19" s="1" t="s">
        <v>215</v>
      </c>
      <c r="C19">
        <v>4</v>
      </c>
      <c r="D19">
        <v>39.619999999999997</v>
      </c>
      <c r="E19" s="1" t="s">
        <v>369</v>
      </c>
      <c r="F19" s="1" t="s">
        <v>370</v>
      </c>
      <c r="G19" s="1" t="s">
        <v>288</v>
      </c>
      <c r="H19" s="1" t="s">
        <v>288</v>
      </c>
      <c r="I19" s="1" t="s">
        <v>288</v>
      </c>
      <c r="J19" s="1" t="s">
        <v>288</v>
      </c>
      <c r="K19">
        <v>4</v>
      </c>
      <c r="L19" s="1" t="s">
        <v>369</v>
      </c>
      <c r="M19" s="1" t="s">
        <v>370</v>
      </c>
      <c r="N19" s="1" t="s">
        <v>368</v>
      </c>
    </row>
    <row r="20" spans="1:14" x14ac:dyDescent="0.25">
      <c r="A20">
        <v>17</v>
      </c>
      <c r="B20" s="1" t="s">
        <v>216</v>
      </c>
      <c r="C20">
        <v>5</v>
      </c>
      <c r="D20">
        <v>39.619999999999997</v>
      </c>
      <c r="E20" s="1" t="s">
        <v>371</v>
      </c>
      <c r="F20" s="1" t="s">
        <v>372</v>
      </c>
      <c r="G20" s="1" t="s">
        <v>289</v>
      </c>
      <c r="H20" s="1" t="s">
        <v>289</v>
      </c>
      <c r="I20" s="1" t="s">
        <v>289</v>
      </c>
      <c r="J20" s="1" t="s">
        <v>289</v>
      </c>
      <c r="K20">
        <v>5</v>
      </c>
      <c r="L20" s="1" t="s">
        <v>371</v>
      </c>
      <c r="M20" s="1" t="s">
        <v>372</v>
      </c>
      <c r="N20" s="1" t="s">
        <v>368</v>
      </c>
    </row>
    <row r="21" spans="1:14" x14ac:dyDescent="0.25">
      <c r="A21">
        <v>22</v>
      </c>
      <c r="B21" s="1" t="s">
        <v>217</v>
      </c>
      <c r="C21">
        <v>4</v>
      </c>
      <c r="D21">
        <v>39.619999999999997</v>
      </c>
      <c r="E21" s="1" t="s">
        <v>369</v>
      </c>
      <c r="F21" s="1" t="s">
        <v>370</v>
      </c>
      <c r="G21" s="1" t="s">
        <v>288</v>
      </c>
      <c r="H21" s="1" t="s">
        <v>288</v>
      </c>
      <c r="I21" s="1" t="s">
        <v>288</v>
      </c>
      <c r="J21" s="1" t="s">
        <v>288</v>
      </c>
      <c r="K21">
        <v>4</v>
      </c>
      <c r="L21" s="1" t="s">
        <v>369</v>
      </c>
      <c r="M21" s="1" t="s">
        <v>370</v>
      </c>
      <c r="N21" s="1" t="s">
        <v>368</v>
      </c>
    </row>
    <row r="22" spans="1:14" x14ac:dyDescent="0.25">
      <c r="A22">
        <v>1</v>
      </c>
      <c r="B22" s="1" t="s">
        <v>218</v>
      </c>
      <c r="C22">
        <v>3</v>
      </c>
      <c r="D22">
        <v>39.619999999999997</v>
      </c>
      <c r="E22" s="1" t="s">
        <v>366</v>
      </c>
      <c r="F22" s="1" t="s">
        <v>367</v>
      </c>
      <c r="G22" s="1" t="s">
        <v>287</v>
      </c>
      <c r="H22" s="1" t="s">
        <v>287</v>
      </c>
      <c r="I22" s="1" t="s">
        <v>287</v>
      </c>
      <c r="J22" s="1" t="s">
        <v>287</v>
      </c>
      <c r="K22">
        <v>3</v>
      </c>
      <c r="L22" s="1" t="s">
        <v>366</v>
      </c>
      <c r="M22" s="1" t="s">
        <v>367</v>
      </c>
      <c r="N22" s="1" t="s">
        <v>368</v>
      </c>
    </row>
    <row r="23" spans="1:14" x14ac:dyDescent="0.25">
      <c r="A23">
        <v>20</v>
      </c>
      <c r="B23" s="1" t="s">
        <v>219</v>
      </c>
      <c r="C23">
        <v>4</v>
      </c>
      <c r="D23">
        <v>39.619999999999997</v>
      </c>
      <c r="E23" s="1" t="s">
        <v>369</v>
      </c>
      <c r="F23" s="1" t="s">
        <v>370</v>
      </c>
      <c r="G23" s="1" t="s">
        <v>288</v>
      </c>
      <c r="H23" s="1" t="s">
        <v>288</v>
      </c>
      <c r="I23" s="1" t="s">
        <v>288</v>
      </c>
      <c r="J23" s="1" t="s">
        <v>288</v>
      </c>
      <c r="K23">
        <v>4</v>
      </c>
      <c r="L23" s="1" t="s">
        <v>369</v>
      </c>
      <c r="M23" s="1" t="s">
        <v>370</v>
      </c>
      <c r="N23" s="1" t="s">
        <v>368</v>
      </c>
    </row>
    <row r="24" spans="1:14" x14ac:dyDescent="0.25">
      <c r="A24">
        <v>40</v>
      </c>
      <c r="B24" s="1" t="s">
        <v>220</v>
      </c>
      <c r="C24">
        <v>4</v>
      </c>
      <c r="D24">
        <v>38.619999999999997</v>
      </c>
      <c r="E24" s="1" t="s">
        <v>369</v>
      </c>
      <c r="F24" s="1" t="s">
        <v>370</v>
      </c>
      <c r="G24" s="1" t="s">
        <v>288</v>
      </c>
      <c r="H24" s="1" t="s">
        <v>288</v>
      </c>
      <c r="I24" s="1" t="s">
        <v>288</v>
      </c>
      <c r="J24" s="1" t="s">
        <v>288</v>
      </c>
      <c r="K24">
        <v>4</v>
      </c>
      <c r="L24" s="1" t="s">
        <v>369</v>
      </c>
      <c r="M24" s="1" t="s">
        <v>370</v>
      </c>
      <c r="N24" s="1" t="s">
        <v>368</v>
      </c>
    </row>
    <row r="25" spans="1:14" x14ac:dyDescent="0.25">
      <c r="A25">
        <v>51</v>
      </c>
      <c r="B25" s="1" t="s">
        <v>221</v>
      </c>
      <c r="C25">
        <v>5</v>
      </c>
      <c r="D25">
        <v>38.619999999999997</v>
      </c>
      <c r="E25" s="1" t="s">
        <v>371</v>
      </c>
      <c r="F25" s="1" t="s">
        <v>372</v>
      </c>
      <c r="G25" s="1" t="s">
        <v>289</v>
      </c>
      <c r="H25" s="1" t="s">
        <v>289</v>
      </c>
      <c r="I25" s="1" t="s">
        <v>289</v>
      </c>
      <c r="J25" s="1" t="s">
        <v>289</v>
      </c>
      <c r="K25">
        <v>5</v>
      </c>
      <c r="L25" s="1" t="s">
        <v>371</v>
      </c>
      <c r="M25" s="1" t="s">
        <v>372</v>
      </c>
      <c r="N25" s="1" t="s">
        <v>368</v>
      </c>
    </row>
    <row r="26" spans="1:14" x14ac:dyDescent="0.25">
      <c r="A26">
        <v>15</v>
      </c>
      <c r="B26" s="1" t="s">
        <v>222</v>
      </c>
      <c r="C26">
        <v>3</v>
      </c>
      <c r="D26">
        <v>38.619999999999997</v>
      </c>
      <c r="E26" s="1" t="s">
        <v>366</v>
      </c>
      <c r="F26" s="1" t="s">
        <v>367</v>
      </c>
      <c r="G26" s="1" t="s">
        <v>287</v>
      </c>
      <c r="H26" s="1" t="s">
        <v>287</v>
      </c>
      <c r="I26" s="1" t="s">
        <v>287</v>
      </c>
      <c r="J26" s="1" t="s">
        <v>287</v>
      </c>
      <c r="K26">
        <v>3</v>
      </c>
      <c r="L26" s="1" t="s">
        <v>366</v>
      </c>
      <c r="M26" s="1" t="s">
        <v>367</v>
      </c>
      <c r="N26" s="1" t="s">
        <v>368</v>
      </c>
    </row>
    <row r="27" spans="1:14" x14ac:dyDescent="0.25">
      <c r="A27">
        <v>19</v>
      </c>
      <c r="B27" s="1" t="s">
        <v>223</v>
      </c>
      <c r="C27">
        <v>3</v>
      </c>
      <c r="D27">
        <v>38.619999999999997</v>
      </c>
      <c r="E27" s="1" t="s">
        <v>366</v>
      </c>
      <c r="F27" s="1" t="s">
        <v>367</v>
      </c>
      <c r="G27" s="1" t="s">
        <v>287</v>
      </c>
      <c r="H27" s="1" t="s">
        <v>287</v>
      </c>
      <c r="I27" s="1" t="s">
        <v>287</v>
      </c>
      <c r="J27" s="1" t="s">
        <v>287</v>
      </c>
      <c r="K27">
        <v>3</v>
      </c>
      <c r="L27" s="1" t="s">
        <v>366</v>
      </c>
      <c r="M27" s="1" t="s">
        <v>367</v>
      </c>
      <c r="N27" s="1" t="s">
        <v>368</v>
      </c>
    </row>
    <row r="28" spans="1:14" x14ac:dyDescent="0.25">
      <c r="A28">
        <v>39</v>
      </c>
      <c r="B28" s="1" t="s">
        <v>224</v>
      </c>
      <c r="C28">
        <v>4</v>
      </c>
      <c r="D28">
        <v>38.619999999999997</v>
      </c>
      <c r="E28" s="1" t="s">
        <v>369</v>
      </c>
      <c r="F28" s="1" t="s">
        <v>370</v>
      </c>
      <c r="G28" s="1" t="s">
        <v>288</v>
      </c>
      <c r="H28" s="1" t="s">
        <v>288</v>
      </c>
      <c r="I28" s="1" t="s">
        <v>288</v>
      </c>
      <c r="J28" s="1" t="s">
        <v>288</v>
      </c>
      <c r="K28">
        <v>4</v>
      </c>
      <c r="L28" s="1" t="s">
        <v>369</v>
      </c>
      <c r="M28" s="1" t="s">
        <v>370</v>
      </c>
      <c r="N28" s="1" t="s">
        <v>368</v>
      </c>
    </row>
    <row r="29" spans="1:14" x14ac:dyDescent="0.25">
      <c r="A29">
        <v>58</v>
      </c>
      <c r="B29" s="1" t="s">
        <v>225</v>
      </c>
      <c r="C29">
        <v>3</v>
      </c>
      <c r="D29">
        <v>38.619999999999997</v>
      </c>
      <c r="E29" s="1" t="s">
        <v>366</v>
      </c>
      <c r="F29" s="1" t="s">
        <v>367</v>
      </c>
      <c r="G29" s="1" t="s">
        <v>287</v>
      </c>
      <c r="H29" s="1" t="s">
        <v>287</v>
      </c>
      <c r="I29" s="1" t="s">
        <v>287</v>
      </c>
      <c r="J29" s="1" t="s">
        <v>287</v>
      </c>
      <c r="K29">
        <v>3</v>
      </c>
      <c r="L29" s="1" t="s">
        <v>366</v>
      </c>
      <c r="M29" s="1" t="s">
        <v>367</v>
      </c>
      <c r="N29" s="1" t="s">
        <v>368</v>
      </c>
    </row>
    <row r="30" spans="1:14" x14ac:dyDescent="0.25">
      <c r="A30">
        <v>13</v>
      </c>
      <c r="B30" s="1" t="s">
        <v>226</v>
      </c>
      <c r="C30">
        <v>4</v>
      </c>
      <c r="D30">
        <v>37.619999999999997</v>
      </c>
      <c r="E30" s="1" t="s">
        <v>369</v>
      </c>
      <c r="F30" s="1" t="s">
        <v>370</v>
      </c>
      <c r="G30" s="1" t="s">
        <v>288</v>
      </c>
      <c r="H30" s="1" t="s">
        <v>288</v>
      </c>
      <c r="I30" s="1" t="s">
        <v>288</v>
      </c>
      <c r="J30" s="1" t="s">
        <v>288</v>
      </c>
      <c r="K30">
        <v>4</v>
      </c>
      <c r="L30" s="1" t="s">
        <v>369</v>
      </c>
      <c r="M30" s="1" t="s">
        <v>370</v>
      </c>
      <c r="N30" s="1" t="s">
        <v>368</v>
      </c>
    </row>
    <row r="31" spans="1:14" x14ac:dyDescent="0.25">
      <c r="A31">
        <v>2</v>
      </c>
      <c r="B31" s="1" t="s">
        <v>227</v>
      </c>
      <c r="C31">
        <v>5</v>
      </c>
      <c r="D31">
        <v>37.619999999999997</v>
      </c>
      <c r="E31" s="1" t="s">
        <v>371</v>
      </c>
      <c r="F31" s="1" t="s">
        <v>372</v>
      </c>
      <c r="G31" s="1" t="s">
        <v>289</v>
      </c>
      <c r="H31" s="1" t="s">
        <v>289</v>
      </c>
      <c r="I31" s="1" t="s">
        <v>289</v>
      </c>
      <c r="J31" s="1" t="s">
        <v>289</v>
      </c>
      <c r="K31">
        <v>5</v>
      </c>
      <c r="L31" s="1" t="s">
        <v>371</v>
      </c>
      <c r="M31" s="1" t="s">
        <v>372</v>
      </c>
      <c r="N31" s="1" t="s">
        <v>368</v>
      </c>
    </row>
    <row r="32" spans="1:14" x14ac:dyDescent="0.25">
      <c r="A32">
        <v>50</v>
      </c>
      <c r="B32" s="1" t="s">
        <v>228</v>
      </c>
      <c r="C32">
        <v>5</v>
      </c>
      <c r="D32">
        <v>37.619999999999997</v>
      </c>
      <c r="E32" s="1" t="s">
        <v>371</v>
      </c>
      <c r="F32" s="1" t="s">
        <v>372</v>
      </c>
      <c r="G32" s="1" t="s">
        <v>289</v>
      </c>
      <c r="H32" s="1" t="s">
        <v>289</v>
      </c>
      <c r="I32" s="1" t="s">
        <v>289</v>
      </c>
      <c r="J32" s="1" t="s">
        <v>289</v>
      </c>
      <c r="K32">
        <v>5</v>
      </c>
      <c r="L32" s="1" t="s">
        <v>371</v>
      </c>
      <c r="M32" s="1" t="s">
        <v>372</v>
      </c>
      <c r="N32" s="1" t="s">
        <v>368</v>
      </c>
    </row>
    <row r="33" spans="1:14" x14ac:dyDescent="0.25">
      <c r="A33">
        <v>53</v>
      </c>
      <c r="B33" s="1" t="s">
        <v>229</v>
      </c>
      <c r="C33">
        <v>3</v>
      </c>
      <c r="D33">
        <v>37.619999999999997</v>
      </c>
      <c r="E33" s="1" t="s">
        <v>366</v>
      </c>
      <c r="F33" s="1" t="s">
        <v>367</v>
      </c>
      <c r="G33" s="1" t="s">
        <v>287</v>
      </c>
      <c r="H33" s="1" t="s">
        <v>287</v>
      </c>
      <c r="I33" s="1" t="s">
        <v>287</v>
      </c>
      <c r="J33" s="1" t="s">
        <v>287</v>
      </c>
      <c r="K33">
        <v>3</v>
      </c>
      <c r="L33" s="1" t="s">
        <v>366</v>
      </c>
      <c r="M33" s="1" t="s">
        <v>367</v>
      </c>
      <c r="N33" s="1" t="s">
        <v>368</v>
      </c>
    </row>
    <row r="34" spans="1:14" x14ac:dyDescent="0.25">
      <c r="A34">
        <v>8</v>
      </c>
      <c r="B34" s="1" t="s">
        <v>230</v>
      </c>
      <c r="C34">
        <v>4</v>
      </c>
      <c r="D34">
        <v>37.619999999999997</v>
      </c>
      <c r="E34" s="1" t="s">
        <v>369</v>
      </c>
      <c r="F34" s="1" t="s">
        <v>370</v>
      </c>
      <c r="G34" s="1" t="s">
        <v>288</v>
      </c>
      <c r="H34" s="1" t="s">
        <v>288</v>
      </c>
      <c r="I34" s="1" t="s">
        <v>288</v>
      </c>
      <c r="J34" s="1" t="s">
        <v>288</v>
      </c>
      <c r="K34">
        <v>4</v>
      </c>
      <c r="L34" s="1" t="s">
        <v>369</v>
      </c>
      <c r="M34" s="1" t="s">
        <v>370</v>
      </c>
      <c r="N34" s="1" t="s">
        <v>368</v>
      </c>
    </row>
    <row r="35" spans="1:14" x14ac:dyDescent="0.25">
      <c r="A35">
        <v>29</v>
      </c>
      <c r="B35" s="1" t="s">
        <v>231</v>
      </c>
      <c r="C35">
        <v>3</v>
      </c>
      <c r="D35">
        <v>37.619999999999997</v>
      </c>
      <c r="E35" s="1" t="s">
        <v>366</v>
      </c>
      <c r="F35" s="1" t="s">
        <v>367</v>
      </c>
      <c r="G35" s="1" t="s">
        <v>287</v>
      </c>
      <c r="H35" s="1" t="s">
        <v>287</v>
      </c>
      <c r="I35" s="1" t="s">
        <v>287</v>
      </c>
      <c r="J35" s="1" t="s">
        <v>287</v>
      </c>
      <c r="K35">
        <v>3</v>
      </c>
      <c r="L35" s="1" t="s">
        <v>366</v>
      </c>
      <c r="M35" s="1" t="s">
        <v>367</v>
      </c>
      <c r="N35" s="1" t="s">
        <v>368</v>
      </c>
    </row>
    <row r="36" spans="1:14" x14ac:dyDescent="0.25">
      <c r="A36">
        <v>30</v>
      </c>
      <c r="B36" s="1" t="s">
        <v>232</v>
      </c>
      <c r="C36">
        <v>3</v>
      </c>
      <c r="D36">
        <v>37.619999999999997</v>
      </c>
      <c r="E36" s="1" t="s">
        <v>366</v>
      </c>
      <c r="F36" s="1" t="s">
        <v>367</v>
      </c>
      <c r="G36" s="1" t="s">
        <v>287</v>
      </c>
      <c r="H36" s="1" t="s">
        <v>287</v>
      </c>
      <c r="I36" s="1" t="s">
        <v>287</v>
      </c>
      <c r="J36" s="1" t="s">
        <v>287</v>
      </c>
      <c r="K36">
        <v>3</v>
      </c>
      <c r="L36" s="1" t="s">
        <v>366</v>
      </c>
      <c r="M36" s="1" t="s">
        <v>367</v>
      </c>
      <c r="N36" s="1" t="s">
        <v>368</v>
      </c>
    </row>
    <row r="37" spans="1:14" x14ac:dyDescent="0.25">
      <c r="A37">
        <v>32</v>
      </c>
      <c r="B37" s="1" t="s">
        <v>233</v>
      </c>
      <c r="C37">
        <v>4</v>
      </c>
      <c r="D37">
        <v>37.619999999999997</v>
      </c>
      <c r="E37" s="1" t="s">
        <v>369</v>
      </c>
      <c r="F37" s="1" t="s">
        <v>370</v>
      </c>
      <c r="G37" s="1" t="s">
        <v>288</v>
      </c>
      <c r="H37" s="1" t="s">
        <v>288</v>
      </c>
      <c r="I37" s="1" t="s">
        <v>288</v>
      </c>
      <c r="J37" s="1" t="s">
        <v>288</v>
      </c>
      <c r="K37">
        <v>4</v>
      </c>
      <c r="L37" s="1" t="s">
        <v>369</v>
      </c>
      <c r="M37" s="1" t="s">
        <v>370</v>
      </c>
      <c r="N37" s="1" t="s">
        <v>368</v>
      </c>
    </row>
    <row r="38" spans="1:14" x14ac:dyDescent="0.25">
      <c r="A38">
        <v>14</v>
      </c>
      <c r="B38" s="1" t="s">
        <v>234</v>
      </c>
      <c r="C38">
        <v>5</v>
      </c>
      <c r="D38">
        <v>37.619999999999997</v>
      </c>
      <c r="E38" s="1" t="s">
        <v>371</v>
      </c>
      <c r="F38" s="1" t="s">
        <v>372</v>
      </c>
      <c r="G38" s="1" t="s">
        <v>289</v>
      </c>
      <c r="H38" s="1" t="s">
        <v>289</v>
      </c>
      <c r="I38" s="1" t="s">
        <v>289</v>
      </c>
      <c r="J38" s="1" t="s">
        <v>289</v>
      </c>
      <c r="K38">
        <v>5</v>
      </c>
      <c r="L38" s="1" t="s">
        <v>371</v>
      </c>
      <c r="M38" s="1" t="s">
        <v>372</v>
      </c>
      <c r="N38" s="1" t="s">
        <v>368</v>
      </c>
    </row>
    <row r="39" spans="1:14" x14ac:dyDescent="0.25">
      <c r="A39">
        <v>9</v>
      </c>
      <c r="B39" s="1" t="s">
        <v>235</v>
      </c>
      <c r="C39">
        <v>4</v>
      </c>
      <c r="D39">
        <v>37.619999999999997</v>
      </c>
      <c r="E39" s="1" t="s">
        <v>369</v>
      </c>
      <c r="F39" s="1" t="s">
        <v>370</v>
      </c>
      <c r="G39" s="1" t="s">
        <v>288</v>
      </c>
      <c r="H39" s="1" t="s">
        <v>288</v>
      </c>
      <c r="I39" s="1" t="s">
        <v>288</v>
      </c>
      <c r="J39" s="1" t="s">
        <v>288</v>
      </c>
      <c r="K39">
        <v>4</v>
      </c>
      <c r="L39" s="1" t="s">
        <v>369</v>
      </c>
      <c r="M39" s="1" t="s">
        <v>370</v>
      </c>
      <c r="N39" s="1" t="s">
        <v>368</v>
      </c>
    </row>
    <row r="40" spans="1:14" x14ac:dyDescent="0.25">
      <c r="A40">
        <v>11</v>
      </c>
      <c r="B40" s="1" t="s">
        <v>236</v>
      </c>
      <c r="C40">
        <v>5</v>
      </c>
      <c r="D40">
        <v>37.619999999999997</v>
      </c>
      <c r="E40" s="1" t="s">
        <v>371</v>
      </c>
      <c r="F40" s="1" t="s">
        <v>372</v>
      </c>
      <c r="G40" s="1" t="s">
        <v>289</v>
      </c>
      <c r="H40" s="1" t="s">
        <v>289</v>
      </c>
      <c r="I40" s="1" t="s">
        <v>289</v>
      </c>
      <c r="J40" s="1" t="s">
        <v>289</v>
      </c>
      <c r="K40">
        <v>5</v>
      </c>
      <c r="L40" s="1" t="s">
        <v>371</v>
      </c>
      <c r="M40" s="1" t="s">
        <v>372</v>
      </c>
      <c r="N40" s="1" t="s">
        <v>368</v>
      </c>
    </row>
    <row r="41" spans="1:14" x14ac:dyDescent="0.25">
      <c r="A41">
        <v>47</v>
      </c>
      <c r="B41" s="1" t="s">
        <v>237</v>
      </c>
      <c r="C41">
        <v>5</v>
      </c>
      <c r="D41">
        <v>37.619999999999997</v>
      </c>
      <c r="E41" s="1" t="s">
        <v>371</v>
      </c>
      <c r="F41" s="1" t="s">
        <v>372</v>
      </c>
      <c r="G41" s="1" t="s">
        <v>289</v>
      </c>
      <c r="H41" s="1" t="s">
        <v>289</v>
      </c>
      <c r="I41" s="1" t="s">
        <v>289</v>
      </c>
      <c r="J41" s="1" t="s">
        <v>289</v>
      </c>
      <c r="K41">
        <v>5</v>
      </c>
      <c r="L41" s="1" t="s">
        <v>371</v>
      </c>
      <c r="M41" s="1" t="s">
        <v>372</v>
      </c>
      <c r="N41" s="1" t="s">
        <v>368</v>
      </c>
    </row>
    <row r="42" spans="1:14" x14ac:dyDescent="0.25">
      <c r="A42">
        <v>49</v>
      </c>
      <c r="B42" s="1" t="s">
        <v>238</v>
      </c>
      <c r="C42">
        <v>4</v>
      </c>
      <c r="D42">
        <v>37.619999999999997</v>
      </c>
      <c r="E42" s="1" t="s">
        <v>369</v>
      </c>
      <c r="F42" s="1" t="s">
        <v>370</v>
      </c>
      <c r="G42" s="1" t="s">
        <v>288</v>
      </c>
      <c r="H42" s="1" t="s">
        <v>288</v>
      </c>
      <c r="I42" s="1" t="s">
        <v>288</v>
      </c>
      <c r="J42" s="1" t="s">
        <v>288</v>
      </c>
      <c r="K42">
        <v>4</v>
      </c>
      <c r="L42" s="1" t="s">
        <v>369</v>
      </c>
      <c r="M42" s="1" t="s">
        <v>370</v>
      </c>
      <c r="N42" s="1" t="s">
        <v>368</v>
      </c>
    </row>
    <row r="43" spans="1:14" x14ac:dyDescent="0.25">
      <c r="A43">
        <v>23</v>
      </c>
      <c r="B43" s="1" t="s">
        <v>239</v>
      </c>
      <c r="C43">
        <v>4</v>
      </c>
      <c r="D43">
        <v>37.619999999999997</v>
      </c>
      <c r="E43" s="1" t="s">
        <v>369</v>
      </c>
      <c r="F43" s="1" t="s">
        <v>370</v>
      </c>
      <c r="G43" s="1" t="s">
        <v>288</v>
      </c>
      <c r="H43" s="1" t="s">
        <v>288</v>
      </c>
      <c r="I43" s="1" t="s">
        <v>288</v>
      </c>
      <c r="J43" s="1" t="s">
        <v>288</v>
      </c>
      <c r="K43">
        <v>4</v>
      </c>
      <c r="L43" s="1" t="s">
        <v>369</v>
      </c>
      <c r="M43" s="1" t="s">
        <v>370</v>
      </c>
      <c r="N43" s="1" t="s">
        <v>368</v>
      </c>
    </row>
    <row r="44" spans="1:14" x14ac:dyDescent="0.25">
      <c r="A44">
        <v>38</v>
      </c>
      <c r="B44" s="1" t="s">
        <v>240</v>
      </c>
      <c r="C44">
        <v>3</v>
      </c>
      <c r="D44">
        <v>37.619999999999997</v>
      </c>
      <c r="E44" s="1" t="s">
        <v>366</v>
      </c>
      <c r="F44" s="1" t="s">
        <v>367</v>
      </c>
      <c r="G44" s="1" t="s">
        <v>287</v>
      </c>
      <c r="H44" s="1" t="s">
        <v>287</v>
      </c>
      <c r="I44" s="1" t="s">
        <v>287</v>
      </c>
      <c r="J44" s="1" t="s">
        <v>287</v>
      </c>
      <c r="K44">
        <v>3</v>
      </c>
      <c r="L44" s="1" t="s">
        <v>366</v>
      </c>
      <c r="M44" s="1" t="s">
        <v>367</v>
      </c>
      <c r="N44" s="1" t="s">
        <v>368</v>
      </c>
    </row>
    <row r="45" spans="1:14" x14ac:dyDescent="0.25">
      <c r="A45">
        <v>52</v>
      </c>
      <c r="B45" s="1" t="s">
        <v>241</v>
      </c>
      <c r="C45">
        <v>3</v>
      </c>
      <c r="D45">
        <v>37.619999999999997</v>
      </c>
      <c r="E45" s="1" t="s">
        <v>366</v>
      </c>
      <c r="F45" s="1" t="s">
        <v>367</v>
      </c>
      <c r="G45" s="1" t="s">
        <v>287</v>
      </c>
      <c r="H45" s="1" t="s">
        <v>287</v>
      </c>
      <c r="I45" s="1" t="s">
        <v>287</v>
      </c>
      <c r="J45" s="1" t="s">
        <v>287</v>
      </c>
      <c r="K45">
        <v>3</v>
      </c>
      <c r="L45" s="1" t="s">
        <v>366</v>
      </c>
      <c r="M45" s="1" t="s">
        <v>367</v>
      </c>
      <c r="N45" s="1" t="s">
        <v>368</v>
      </c>
    </row>
    <row r="46" spans="1:14" x14ac:dyDescent="0.25">
      <c r="A46">
        <v>16</v>
      </c>
      <c r="B46" s="1" t="s">
        <v>242</v>
      </c>
      <c r="C46">
        <v>4</v>
      </c>
      <c r="D46">
        <v>37.619999999999997</v>
      </c>
      <c r="E46" s="1" t="s">
        <v>369</v>
      </c>
      <c r="F46" s="1" t="s">
        <v>370</v>
      </c>
      <c r="G46" s="1" t="s">
        <v>288</v>
      </c>
      <c r="H46" s="1" t="s">
        <v>288</v>
      </c>
      <c r="I46" s="1" t="s">
        <v>288</v>
      </c>
      <c r="J46" s="1" t="s">
        <v>288</v>
      </c>
      <c r="K46">
        <v>4</v>
      </c>
      <c r="L46" s="1" t="s">
        <v>369</v>
      </c>
      <c r="M46" s="1" t="s">
        <v>370</v>
      </c>
      <c r="N46" s="1" t="s">
        <v>368</v>
      </c>
    </row>
    <row r="47" spans="1:14" x14ac:dyDescent="0.25">
      <c r="A47">
        <v>21</v>
      </c>
      <c r="B47" s="1" t="s">
        <v>243</v>
      </c>
      <c r="C47">
        <v>5</v>
      </c>
      <c r="D47">
        <v>37.619999999999997</v>
      </c>
      <c r="E47" s="1" t="s">
        <v>371</v>
      </c>
      <c r="F47" s="1" t="s">
        <v>372</v>
      </c>
      <c r="G47" s="1" t="s">
        <v>289</v>
      </c>
      <c r="H47" s="1" t="s">
        <v>289</v>
      </c>
      <c r="I47" s="1" t="s">
        <v>289</v>
      </c>
      <c r="J47" s="1" t="s">
        <v>289</v>
      </c>
      <c r="K47">
        <v>5</v>
      </c>
      <c r="L47" s="1" t="s">
        <v>371</v>
      </c>
      <c r="M47" s="1" t="s">
        <v>372</v>
      </c>
      <c r="N47" s="1" t="s">
        <v>368</v>
      </c>
    </row>
    <row r="48" spans="1:14" x14ac:dyDescent="0.25">
      <c r="A48">
        <v>31</v>
      </c>
      <c r="B48" s="1" t="s">
        <v>244</v>
      </c>
      <c r="C48">
        <v>5</v>
      </c>
      <c r="D48">
        <v>37.619999999999997</v>
      </c>
      <c r="E48" s="1" t="s">
        <v>371</v>
      </c>
      <c r="F48" s="1" t="s">
        <v>372</v>
      </c>
      <c r="G48" s="1" t="s">
        <v>289</v>
      </c>
      <c r="H48" s="1" t="s">
        <v>289</v>
      </c>
      <c r="I48" s="1" t="s">
        <v>289</v>
      </c>
      <c r="J48" s="1" t="s">
        <v>289</v>
      </c>
      <c r="K48">
        <v>5</v>
      </c>
      <c r="L48" s="1" t="s">
        <v>371</v>
      </c>
      <c r="M48" s="1" t="s">
        <v>372</v>
      </c>
      <c r="N48" s="1" t="s">
        <v>368</v>
      </c>
    </row>
    <row r="49" spans="1:14" x14ac:dyDescent="0.25">
      <c r="A49">
        <v>54</v>
      </c>
      <c r="B49" s="1" t="s">
        <v>245</v>
      </c>
      <c r="C49">
        <v>5</v>
      </c>
      <c r="D49">
        <v>37.619999999999997</v>
      </c>
      <c r="E49" s="1" t="s">
        <v>371</v>
      </c>
      <c r="F49" s="1" t="s">
        <v>372</v>
      </c>
      <c r="G49" s="1" t="s">
        <v>289</v>
      </c>
      <c r="H49" s="1" t="s">
        <v>289</v>
      </c>
      <c r="I49" s="1" t="s">
        <v>289</v>
      </c>
      <c r="J49" s="1" t="s">
        <v>289</v>
      </c>
      <c r="K49">
        <v>5</v>
      </c>
      <c r="L49" s="1" t="s">
        <v>371</v>
      </c>
      <c r="M49" s="1" t="s">
        <v>372</v>
      </c>
      <c r="N49" s="1" t="s">
        <v>368</v>
      </c>
    </row>
    <row r="50" spans="1:14" x14ac:dyDescent="0.25">
      <c r="A50">
        <v>55</v>
      </c>
      <c r="B50" s="1" t="s">
        <v>246</v>
      </c>
      <c r="C50">
        <v>4</v>
      </c>
      <c r="D50">
        <v>37.619999999999997</v>
      </c>
      <c r="E50" s="1" t="s">
        <v>369</v>
      </c>
      <c r="F50" s="1" t="s">
        <v>370</v>
      </c>
      <c r="G50" s="1" t="s">
        <v>288</v>
      </c>
      <c r="H50" s="1" t="s">
        <v>288</v>
      </c>
      <c r="I50" s="1" t="s">
        <v>288</v>
      </c>
      <c r="J50" s="1" t="s">
        <v>288</v>
      </c>
      <c r="K50">
        <v>4</v>
      </c>
      <c r="L50" s="1" t="s">
        <v>369</v>
      </c>
      <c r="M50" s="1" t="s">
        <v>370</v>
      </c>
      <c r="N50" s="1" t="s">
        <v>368</v>
      </c>
    </row>
    <row r="51" spans="1:14" x14ac:dyDescent="0.25">
      <c r="A51">
        <v>10</v>
      </c>
      <c r="B51" s="1" t="s">
        <v>247</v>
      </c>
      <c r="C51">
        <v>4</v>
      </c>
      <c r="D51">
        <v>37.619999999999997</v>
      </c>
      <c r="E51" s="1" t="s">
        <v>369</v>
      </c>
      <c r="F51" s="1" t="s">
        <v>370</v>
      </c>
      <c r="G51" s="1" t="s">
        <v>288</v>
      </c>
      <c r="H51" s="1" t="s">
        <v>288</v>
      </c>
      <c r="I51" s="1" t="s">
        <v>288</v>
      </c>
      <c r="J51" s="1" t="s">
        <v>288</v>
      </c>
      <c r="K51">
        <v>4</v>
      </c>
      <c r="L51" s="1" t="s">
        <v>369</v>
      </c>
      <c r="M51" s="1" t="s">
        <v>370</v>
      </c>
      <c r="N51" s="1" t="s">
        <v>368</v>
      </c>
    </row>
    <row r="52" spans="1:14" x14ac:dyDescent="0.25">
      <c r="A52">
        <v>27</v>
      </c>
      <c r="B52" s="1" t="s">
        <v>248</v>
      </c>
      <c r="C52">
        <v>4</v>
      </c>
      <c r="D52">
        <v>37.619999999999997</v>
      </c>
      <c r="E52" s="1" t="s">
        <v>369</v>
      </c>
      <c r="F52" s="1" t="s">
        <v>370</v>
      </c>
      <c r="G52" s="1" t="s">
        <v>288</v>
      </c>
      <c r="H52" s="1" t="s">
        <v>288</v>
      </c>
      <c r="I52" s="1" t="s">
        <v>288</v>
      </c>
      <c r="J52" s="1" t="s">
        <v>288</v>
      </c>
      <c r="K52">
        <v>4</v>
      </c>
      <c r="L52" s="1" t="s">
        <v>369</v>
      </c>
      <c r="M52" s="1" t="s">
        <v>370</v>
      </c>
      <c r="N52" s="1" t="s">
        <v>368</v>
      </c>
    </row>
    <row r="53" spans="1:14" x14ac:dyDescent="0.25">
      <c r="A53">
        <v>33</v>
      </c>
      <c r="B53" s="1" t="s">
        <v>249</v>
      </c>
      <c r="C53">
        <v>3</v>
      </c>
      <c r="D53">
        <v>37.619999999999997</v>
      </c>
      <c r="E53" s="1" t="s">
        <v>366</v>
      </c>
      <c r="F53" s="1" t="s">
        <v>367</v>
      </c>
      <c r="G53" s="1" t="s">
        <v>287</v>
      </c>
      <c r="H53" s="1" t="s">
        <v>287</v>
      </c>
      <c r="I53" s="1" t="s">
        <v>287</v>
      </c>
      <c r="J53" s="1" t="s">
        <v>287</v>
      </c>
      <c r="K53">
        <v>3</v>
      </c>
      <c r="L53" s="1" t="s">
        <v>366</v>
      </c>
      <c r="M53" s="1" t="s">
        <v>367</v>
      </c>
      <c r="N53" s="1" t="s">
        <v>368</v>
      </c>
    </row>
    <row r="54" spans="1:14" x14ac:dyDescent="0.25">
      <c r="A54">
        <v>41</v>
      </c>
      <c r="B54" s="1" t="s">
        <v>250</v>
      </c>
      <c r="C54">
        <v>5</v>
      </c>
      <c r="D54">
        <v>37.619999999999997</v>
      </c>
      <c r="E54" s="1" t="s">
        <v>371</v>
      </c>
      <c r="F54" s="1" t="s">
        <v>372</v>
      </c>
      <c r="G54" s="1" t="s">
        <v>289</v>
      </c>
      <c r="H54" s="1" t="s">
        <v>289</v>
      </c>
      <c r="I54" s="1" t="s">
        <v>289</v>
      </c>
      <c r="J54" s="1" t="s">
        <v>289</v>
      </c>
      <c r="K54">
        <v>5</v>
      </c>
      <c r="L54" s="1" t="s">
        <v>371</v>
      </c>
      <c r="M54" s="1" t="s">
        <v>372</v>
      </c>
      <c r="N54" s="1" t="s">
        <v>368</v>
      </c>
    </row>
    <row r="55" spans="1:14" x14ac:dyDescent="0.25">
      <c r="A55">
        <v>18</v>
      </c>
      <c r="B55" s="1" t="s">
        <v>251</v>
      </c>
      <c r="C55">
        <v>3</v>
      </c>
      <c r="D55">
        <v>37.619999999999997</v>
      </c>
      <c r="E55" s="1" t="s">
        <v>366</v>
      </c>
      <c r="F55" s="1" t="s">
        <v>367</v>
      </c>
      <c r="G55" s="1" t="s">
        <v>287</v>
      </c>
      <c r="H55" s="1" t="s">
        <v>287</v>
      </c>
      <c r="I55" s="1" t="s">
        <v>287</v>
      </c>
      <c r="J55" s="1" t="s">
        <v>287</v>
      </c>
      <c r="K55">
        <v>3</v>
      </c>
      <c r="L55" s="1" t="s">
        <v>366</v>
      </c>
      <c r="M55" s="1" t="s">
        <v>367</v>
      </c>
      <c r="N55" s="1" t="s">
        <v>368</v>
      </c>
    </row>
    <row r="56" spans="1:14" x14ac:dyDescent="0.25">
      <c r="A56">
        <v>36</v>
      </c>
      <c r="B56" s="1" t="s">
        <v>252</v>
      </c>
      <c r="C56">
        <v>5</v>
      </c>
      <c r="D56">
        <v>37.619999999999997</v>
      </c>
      <c r="E56" s="1" t="s">
        <v>371</v>
      </c>
      <c r="F56" s="1" t="s">
        <v>372</v>
      </c>
      <c r="G56" s="1" t="s">
        <v>289</v>
      </c>
      <c r="H56" s="1" t="s">
        <v>289</v>
      </c>
      <c r="I56" s="1" t="s">
        <v>289</v>
      </c>
      <c r="J56" s="1" t="s">
        <v>289</v>
      </c>
      <c r="K56">
        <v>5</v>
      </c>
      <c r="L56" s="1" t="s">
        <v>371</v>
      </c>
      <c r="M56" s="1" t="s">
        <v>372</v>
      </c>
      <c r="N56" s="1" t="s">
        <v>368</v>
      </c>
    </row>
    <row r="57" spans="1:14" x14ac:dyDescent="0.25">
      <c r="A57">
        <v>56</v>
      </c>
      <c r="B57" s="1" t="s">
        <v>253</v>
      </c>
      <c r="C57">
        <v>4</v>
      </c>
      <c r="D57">
        <v>37.619999999999997</v>
      </c>
      <c r="E57" s="1" t="s">
        <v>369</v>
      </c>
      <c r="F57" s="1" t="s">
        <v>370</v>
      </c>
      <c r="G57" s="1" t="s">
        <v>288</v>
      </c>
      <c r="H57" s="1" t="s">
        <v>288</v>
      </c>
      <c r="I57" s="1" t="s">
        <v>288</v>
      </c>
      <c r="J57" s="1" t="s">
        <v>288</v>
      </c>
      <c r="K57">
        <v>4</v>
      </c>
      <c r="L57" s="1" t="s">
        <v>369</v>
      </c>
      <c r="M57" s="1" t="s">
        <v>370</v>
      </c>
      <c r="N57" s="1" t="s">
        <v>368</v>
      </c>
    </row>
    <row r="58" spans="1:14" x14ac:dyDescent="0.25">
      <c r="A58">
        <v>12</v>
      </c>
      <c r="B58" s="1" t="s">
        <v>254</v>
      </c>
      <c r="C58">
        <v>3</v>
      </c>
      <c r="D58">
        <v>37.619999999999997</v>
      </c>
      <c r="E58" s="1" t="s">
        <v>366</v>
      </c>
      <c r="F58" s="1" t="s">
        <v>367</v>
      </c>
      <c r="G58" s="1" t="s">
        <v>287</v>
      </c>
      <c r="H58" s="1" t="s">
        <v>287</v>
      </c>
      <c r="I58" s="1" t="s">
        <v>287</v>
      </c>
      <c r="J58" s="1" t="s">
        <v>287</v>
      </c>
      <c r="K58">
        <v>3</v>
      </c>
      <c r="L58" s="1" t="s">
        <v>366</v>
      </c>
      <c r="M58" s="1" t="s">
        <v>367</v>
      </c>
      <c r="N58" s="1" t="s">
        <v>368</v>
      </c>
    </row>
    <row r="59" spans="1:14" x14ac:dyDescent="0.25">
      <c r="A59">
        <v>35</v>
      </c>
      <c r="B59" s="1" t="s">
        <v>255</v>
      </c>
      <c r="C59">
        <v>4</v>
      </c>
      <c r="D59">
        <v>37.619999999999997</v>
      </c>
      <c r="E59" s="1" t="s">
        <v>369</v>
      </c>
      <c r="F59" s="1" t="s">
        <v>370</v>
      </c>
      <c r="G59" s="1" t="s">
        <v>288</v>
      </c>
      <c r="H59" s="1" t="s">
        <v>288</v>
      </c>
      <c r="I59" s="1" t="s">
        <v>288</v>
      </c>
      <c r="J59" s="1" t="s">
        <v>288</v>
      </c>
      <c r="K59">
        <v>4</v>
      </c>
      <c r="L59" s="1" t="s">
        <v>369</v>
      </c>
      <c r="M59" s="1" t="s">
        <v>370</v>
      </c>
      <c r="N59" s="1" t="s">
        <v>368</v>
      </c>
    </row>
    <row r="60" spans="1:14" x14ac:dyDescent="0.25">
      <c r="A60">
        <v>59</v>
      </c>
      <c r="B60" s="1" t="s">
        <v>256</v>
      </c>
      <c r="C60">
        <v>3</v>
      </c>
      <c r="D60">
        <v>36.64</v>
      </c>
      <c r="E60" s="1" t="s">
        <v>366</v>
      </c>
      <c r="F60" s="1" t="s">
        <v>367</v>
      </c>
      <c r="G60" s="1" t="s">
        <v>287</v>
      </c>
      <c r="H60" s="1" t="s">
        <v>287</v>
      </c>
      <c r="I60" s="1" t="s">
        <v>287</v>
      </c>
      <c r="J60" s="1" t="s">
        <v>287</v>
      </c>
      <c r="K60">
        <v>3</v>
      </c>
      <c r="L60" s="1" t="s">
        <v>366</v>
      </c>
      <c r="M60" s="1" t="s">
        <v>367</v>
      </c>
      <c r="N60" s="1" t="s">
        <v>368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F583-DFF6-40C8-9374-236E7612D1B1}">
  <dimension ref="A1:H70"/>
  <sheetViews>
    <sheetView showGridLines="0" topLeftCell="A79" zoomScaleNormal="100" workbookViewId="0">
      <selection activeCell="G5" sqref="G5"/>
    </sheetView>
  </sheetViews>
  <sheetFormatPr defaultRowHeight="15" x14ac:dyDescent="0.25"/>
  <cols>
    <col min="1" max="1" width="18" bestFit="1" customWidth="1"/>
    <col min="2" max="2" width="18.140625" customWidth="1"/>
    <col min="3" max="24" width="18.140625" bestFit="1" customWidth="1"/>
    <col min="25" max="26" width="11.28515625" bestFit="1" customWidth="1"/>
  </cols>
  <sheetData>
    <row r="1" spans="1:8" x14ac:dyDescent="0.25">
      <c r="A1" s="12" t="s">
        <v>400</v>
      </c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4" spans="1:8" x14ac:dyDescent="0.25">
      <c r="D4" s="14" t="s">
        <v>401</v>
      </c>
      <c r="E4" s="15" t="str">
        <f>"$"&amp;SUM(genre_revenue[revenue])</f>
        <v>$2328.6</v>
      </c>
    </row>
    <row r="5" spans="1:8" x14ac:dyDescent="0.25">
      <c r="D5" s="14" t="s">
        <v>398</v>
      </c>
      <c r="E5" s="15">
        <f>COUNT(customer_spend[CustomerId])</f>
        <v>59</v>
      </c>
    </row>
    <row r="6" spans="1:8" x14ac:dyDescent="0.25">
      <c r="D6" s="14" t="s">
        <v>399</v>
      </c>
      <c r="E6" s="15">
        <f>SUM('employee_sales_performance (2)'!C2:C4)</f>
        <v>412</v>
      </c>
    </row>
    <row r="25" spans="2:7" x14ac:dyDescent="0.25">
      <c r="B25" s="17" t="s">
        <v>402</v>
      </c>
      <c r="C25" s="17"/>
      <c r="F25" s="17" t="s">
        <v>403</v>
      </c>
      <c r="G25" s="17"/>
    </row>
    <row r="26" spans="2:7" x14ac:dyDescent="0.25">
      <c r="B26" s="8" t="s">
        <v>392</v>
      </c>
      <c r="C26" t="s">
        <v>393</v>
      </c>
      <c r="F26" s="8" t="s">
        <v>392</v>
      </c>
      <c r="G26" t="s">
        <v>393</v>
      </c>
    </row>
    <row r="27" spans="2:7" x14ac:dyDescent="0.25">
      <c r="B27" s="18" t="s">
        <v>169</v>
      </c>
      <c r="C27" s="19">
        <v>826.65</v>
      </c>
      <c r="F27" s="18" t="s">
        <v>3</v>
      </c>
      <c r="G27" s="19">
        <v>138.6</v>
      </c>
    </row>
    <row r="28" spans="2:7" x14ac:dyDescent="0.25">
      <c r="B28" s="9" t="s">
        <v>170</v>
      </c>
      <c r="C28" s="1">
        <v>382.14</v>
      </c>
      <c r="F28" s="9" t="s">
        <v>4</v>
      </c>
      <c r="G28" s="1">
        <v>105.93</v>
      </c>
    </row>
    <row r="29" spans="2:7" x14ac:dyDescent="0.25">
      <c r="B29" s="9" t="s">
        <v>171</v>
      </c>
      <c r="C29" s="1">
        <v>261.36</v>
      </c>
      <c r="F29" s="9" t="s">
        <v>5</v>
      </c>
      <c r="G29" s="1">
        <v>90.09</v>
      </c>
    </row>
    <row r="30" spans="2:7" x14ac:dyDescent="0.25">
      <c r="B30" s="9" t="s">
        <v>172</v>
      </c>
      <c r="C30" s="1">
        <v>241.56</v>
      </c>
      <c r="F30" s="9" t="s">
        <v>6</v>
      </c>
      <c r="G30" s="1">
        <v>86.13</v>
      </c>
    </row>
    <row r="31" spans="2:7" x14ac:dyDescent="0.25">
      <c r="B31" s="9" t="s">
        <v>173</v>
      </c>
      <c r="C31" s="1">
        <v>93.53</v>
      </c>
      <c r="F31" s="9" t="s">
        <v>7</v>
      </c>
      <c r="G31" s="1">
        <v>81.59</v>
      </c>
    </row>
    <row r="32" spans="2:7" x14ac:dyDescent="0.25">
      <c r="B32" s="9" t="s">
        <v>174</v>
      </c>
      <c r="C32" s="1">
        <v>79.2</v>
      </c>
      <c r="F32" s="9" t="s">
        <v>8</v>
      </c>
      <c r="G32" s="1">
        <v>49.75</v>
      </c>
    </row>
    <row r="33" spans="1:7" x14ac:dyDescent="0.25">
      <c r="B33" s="9" t="s">
        <v>175</v>
      </c>
      <c r="C33" s="1">
        <v>60.39</v>
      </c>
      <c r="F33" s="9" t="s">
        <v>9</v>
      </c>
      <c r="G33" s="1">
        <v>44.55</v>
      </c>
    </row>
    <row r="34" spans="1:7" x14ac:dyDescent="0.25">
      <c r="B34" s="9" t="s">
        <v>176</v>
      </c>
      <c r="C34" s="1">
        <v>57.71</v>
      </c>
      <c r="F34" s="9" t="s">
        <v>10</v>
      </c>
      <c r="G34" s="1">
        <v>43.56</v>
      </c>
    </row>
    <row r="35" spans="1:7" x14ac:dyDescent="0.25">
      <c r="B35" s="9" t="s">
        <v>178</v>
      </c>
      <c r="C35" s="1">
        <v>40.590000000000003</v>
      </c>
      <c r="F35" s="9" t="s">
        <v>11</v>
      </c>
      <c r="G35" s="1">
        <v>41.58</v>
      </c>
    </row>
    <row r="36" spans="1:7" x14ac:dyDescent="0.25">
      <c r="B36" s="9" t="s">
        <v>177</v>
      </c>
      <c r="C36" s="1">
        <v>40.590000000000003</v>
      </c>
      <c r="F36" s="9" t="s">
        <v>12</v>
      </c>
      <c r="G36" s="1">
        <v>39.6</v>
      </c>
    </row>
    <row r="37" spans="1:7" x14ac:dyDescent="0.25">
      <c r="B37" s="9" t="s">
        <v>391</v>
      </c>
      <c r="C37" s="1">
        <v>2083.7199999999998</v>
      </c>
      <c r="F37" s="9" t="s">
        <v>391</v>
      </c>
      <c r="G37" s="1">
        <v>721.37999999999988</v>
      </c>
    </row>
    <row r="41" spans="1:7" x14ac:dyDescent="0.25">
      <c r="A41" s="17" t="s">
        <v>405</v>
      </c>
      <c r="B41" s="17"/>
      <c r="C41" s="17"/>
    </row>
    <row r="42" spans="1:7" x14ac:dyDescent="0.25">
      <c r="A42" t="s">
        <v>257</v>
      </c>
      <c r="B42" t="s">
        <v>196</v>
      </c>
      <c r="C42" t="s">
        <v>197</v>
      </c>
    </row>
    <row r="43" spans="1:7" x14ac:dyDescent="0.25">
      <c r="A43" s="19" t="s">
        <v>258</v>
      </c>
      <c r="B43" s="16">
        <v>523.05999999999995</v>
      </c>
      <c r="C43" s="16">
        <v>1</v>
      </c>
    </row>
    <row r="44" spans="1:7" x14ac:dyDescent="0.25">
      <c r="A44" s="1" t="s">
        <v>259</v>
      </c>
      <c r="B44">
        <v>303.95999999999998</v>
      </c>
      <c r="C44">
        <v>2</v>
      </c>
    </row>
    <row r="45" spans="1:7" x14ac:dyDescent="0.25">
      <c r="A45" s="1" t="s">
        <v>260</v>
      </c>
      <c r="B45">
        <v>195.1</v>
      </c>
      <c r="C45">
        <v>3</v>
      </c>
    </row>
    <row r="46" spans="1:7" x14ac:dyDescent="0.25">
      <c r="A46" s="1" t="s">
        <v>261</v>
      </c>
      <c r="B46">
        <v>190.1</v>
      </c>
      <c r="C46">
        <v>4</v>
      </c>
    </row>
    <row r="47" spans="1:7" x14ac:dyDescent="0.25">
      <c r="A47" s="1" t="s">
        <v>262</v>
      </c>
      <c r="B47">
        <v>156.47999999999999</v>
      </c>
      <c r="C47">
        <v>5</v>
      </c>
    </row>
    <row r="48" spans="1:7" x14ac:dyDescent="0.25">
      <c r="A48" s="1" t="s">
        <v>263</v>
      </c>
      <c r="B48">
        <v>112.86</v>
      </c>
      <c r="C48">
        <v>6</v>
      </c>
    </row>
    <row r="49" spans="1:3" x14ac:dyDescent="0.25">
      <c r="A49" s="1" t="s">
        <v>264</v>
      </c>
      <c r="B49">
        <v>90.24</v>
      </c>
      <c r="C49">
        <v>7</v>
      </c>
    </row>
    <row r="50" spans="1:3" x14ac:dyDescent="0.25">
      <c r="A50" s="1" t="s">
        <v>265</v>
      </c>
      <c r="B50">
        <v>77.239999999999995</v>
      </c>
      <c r="C50">
        <v>8</v>
      </c>
    </row>
    <row r="51" spans="1:3" x14ac:dyDescent="0.25">
      <c r="A51" s="1" t="s">
        <v>266</v>
      </c>
      <c r="B51">
        <v>75.260000000000005</v>
      </c>
      <c r="C51">
        <v>9</v>
      </c>
    </row>
    <row r="52" spans="1:3" x14ac:dyDescent="0.25">
      <c r="A52" s="1" t="s">
        <v>267</v>
      </c>
      <c r="B52">
        <v>46.62</v>
      </c>
      <c r="C52">
        <v>10</v>
      </c>
    </row>
    <row r="53" spans="1:3" x14ac:dyDescent="0.25">
      <c r="A53" s="1" t="s">
        <v>268</v>
      </c>
      <c r="B53">
        <v>45.62</v>
      </c>
      <c r="C53">
        <v>11</v>
      </c>
    </row>
    <row r="54" spans="1:3" x14ac:dyDescent="0.25">
      <c r="A54" s="1" t="s">
        <v>269</v>
      </c>
      <c r="B54">
        <v>45.62</v>
      </c>
      <c r="C54">
        <v>11</v>
      </c>
    </row>
    <row r="55" spans="1:3" x14ac:dyDescent="0.25">
      <c r="A55" s="1" t="s">
        <v>270</v>
      </c>
      <c r="B55">
        <v>42.62</v>
      </c>
      <c r="C55">
        <v>12</v>
      </c>
    </row>
    <row r="56" spans="1:3" x14ac:dyDescent="0.25">
      <c r="A56" s="1" t="s">
        <v>271</v>
      </c>
      <c r="B56">
        <v>41.62</v>
      </c>
      <c r="C56">
        <v>13</v>
      </c>
    </row>
    <row r="57" spans="1:3" x14ac:dyDescent="0.25">
      <c r="A57" s="1" t="s">
        <v>272</v>
      </c>
      <c r="B57">
        <v>40.619999999999997</v>
      </c>
      <c r="C57">
        <v>14</v>
      </c>
    </row>
    <row r="58" spans="1:3" x14ac:dyDescent="0.25">
      <c r="A58" s="1" t="s">
        <v>273</v>
      </c>
      <c r="B58">
        <v>39.619999999999997</v>
      </c>
      <c r="C58">
        <v>15</v>
      </c>
    </row>
    <row r="59" spans="1:3" x14ac:dyDescent="0.25">
      <c r="A59" s="1" t="s">
        <v>274</v>
      </c>
      <c r="B59">
        <v>38.619999999999997</v>
      </c>
      <c r="C59">
        <v>16</v>
      </c>
    </row>
    <row r="60" spans="1:3" x14ac:dyDescent="0.25">
      <c r="A60" s="1" t="s">
        <v>275</v>
      </c>
      <c r="B60">
        <v>37.619999999999997</v>
      </c>
      <c r="C60">
        <v>17</v>
      </c>
    </row>
    <row r="61" spans="1:3" x14ac:dyDescent="0.25">
      <c r="A61" s="1" t="s">
        <v>276</v>
      </c>
      <c r="B61">
        <v>37.619999999999997</v>
      </c>
      <c r="C61">
        <v>17</v>
      </c>
    </row>
    <row r="62" spans="1:3" x14ac:dyDescent="0.25">
      <c r="A62" s="1" t="s">
        <v>277</v>
      </c>
      <c r="B62">
        <v>37.619999999999997</v>
      </c>
      <c r="C62">
        <v>17</v>
      </c>
    </row>
    <row r="63" spans="1:3" x14ac:dyDescent="0.25">
      <c r="A63" s="1" t="s">
        <v>278</v>
      </c>
      <c r="B63">
        <v>37.619999999999997</v>
      </c>
      <c r="C63">
        <v>17</v>
      </c>
    </row>
    <row r="64" spans="1:3" x14ac:dyDescent="0.25">
      <c r="A64" s="1" t="s">
        <v>279</v>
      </c>
      <c r="B64">
        <v>37.619999999999997</v>
      </c>
      <c r="C64">
        <v>17</v>
      </c>
    </row>
    <row r="65" spans="1:8" x14ac:dyDescent="0.25">
      <c r="A65" s="1" t="s">
        <v>280</v>
      </c>
      <c r="B65">
        <v>37.619999999999997</v>
      </c>
      <c r="C65">
        <v>17</v>
      </c>
    </row>
    <row r="66" spans="1:8" x14ac:dyDescent="0.25">
      <c r="A66" s="1" t="s">
        <v>281</v>
      </c>
      <c r="B66">
        <v>37.619999999999997</v>
      </c>
      <c r="C66">
        <v>17</v>
      </c>
    </row>
    <row r="70" spans="1:8" ht="15.75" x14ac:dyDescent="0.25">
      <c r="A70" s="20" t="s">
        <v>406</v>
      </c>
      <c r="B70" s="20"/>
      <c r="C70" s="20"/>
      <c r="D70" s="20"/>
      <c r="E70" s="20"/>
      <c r="F70" s="20"/>
      <c r="G70" s="20"/>
      <c r="H70" s="20"/>
    </row>
  </sheetData>
  <mergeCells count="5">
    <mergeCell ref="A70:H70"/>
    <mergeCell ref="A1:H2"/>
    <mergeCell ref="A41:C41"/>
    <mergeCell ref="F25:G25"/>
    <mergeCell ref="B25:C25"/>
  </mergeCells>
  <conditionalFormatting sqref="B43:B66">
    <cfRule type="colorScale" priority="1">
      <colorScale>
        <cfvo type="min"/>
        <cfvo type="percentile" val="50"/>
        <cfvo type="max"/>
        <color rgb="FFF8696B"/>
        <color rgb="FFFFFF99"/>
        <color rgb="FF63BE7B"/>
      </colorScale>
    </cfRule>
    <cfRule type="colorScale" priority="2">
      <colorScale>
        <cfvo type="min"/>
        <cfvo type="max"/>
        <color rgb="FFF26C36"/>
        <color rgb="FF00B050"/>
      </colorScale>
    </cfRule>
  </conditionalFormatting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426245-21E2-43E1-8CFF-783F9ABBC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employee-data</vt:lpstr>
      <vt:lpstr>artist-revenue</vt:lpstr>
      <vt:lpstr>employee_sales_performance (2)</vt:lpstr>
      <vt:lpstr>genre_revenue</vt:lpstr>
      <vt:lpstr>customer_spend</vt:lpstr>
      <vt:lpstr>country_spend</vt:lpstr>
      <vt:lpstr>monthly_growth</vt:lpstr>
      <vt:lpstr>yearly_growth</vt:lpstr>
      <vt:lpstr>LOOKUPS</vt:lpstr>
      <vt:lpstr>Merge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2026-08-20T07:27:36Z</dcterms:created>
  <dcterms:modified xsi:type="dcterms:W3CDTF">2026-08-20T10:24:01Z</dcterms:modified>
</cp:coreProperties>
</file>